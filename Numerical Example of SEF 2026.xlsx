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amialsuwailem/Library/Mobile Documents/com~apple~CloudDocs/IRTI/IsDB Cooperative Insurance Fund/Revised SEF proposal/"/>
    </mc:Choice>
  </mc:AlternateContent>
  <xr:revisionPtr revIDLastSave="0" documentId="13_ncr:1_{D206F5FC-2708-E749-90D6-14429CE5879D}" xr6:coauthVersionLast="47" xr6:coauthVersionMax="47" xr10:uidLastSave="{00000000-0000-0000-0000-000000000000}"/>
  <bookViews>
    <workbookView xWindow="4100" yWindow="580" windowWidth="22940" windowHeight="16860" xr2:uid="{00000000-000D-0000-FFFF-FFFF00000000}"/>
  </bookViews>
  <sheets>
    <sheet name="Fixed beta" sheetId="39" r:id="rId1"/>
    <sheet name="Capital with fixed beta" sheetId="44" r:id="rId2"/>
    <sheet name="RiskSerializationData8" sheetId="105" state="hidden" r:id="rId3"/>
    <sheet name="ro_HiddenInfo" sheetId="15" state="hidden" r:id="rId4"/>
  </sheets>
  <definedNames>
    <definedName name="_AtRisk_ReportsSetting_ReportGraphOptions" hidden="1">"REP:VER:8.2.2GRA:OUT:00INS:00SUM:T00DET:T00SCE:02SC1:33DAT:2|TRUE,.75,1|TRUE,0,.25|TRUE,.9,1SE1:38DAT:3,10,2,.95,5,16,FALSE,0,TRUE,TRUE,TRUESE2:38DAT:3,10,2,.95,5,16,FALSE,0,TRUE,TRUE,TRUETSI:002SDA:FF"</definedName>
    <definedName name="_AtRisk_ReportsSetting_ReportMulitSelections" hidden="1">"REP:VER:8.2.2MUL:OUT:T12INS:T11SUM:T10DET:T10SEN:T11SCE:T11TEM:FSDA:T10"</definedName>
    <definedName name="_AtRisk_ReportsSetting_ReportOptions" hidden="1">"REP:VER:8.2.2OPT:RAP:02RWE:00RLS:04ROT:00RST:00RRT:01AGR:FAFN:104DAT:C:\Users\250518\Desktop\SEF\@Risk Reports\Report-Formula-based Analysis of SEF 03.05.2022 Output 50K.pdfOGR:T"</definedName>
    <definedName name="_AtRisk_ReportsSetting_ReportSelectedSimulationsDET" hidden="1">"AQA="</definedName>
    <definedName name="_AtRisk_ReportsSetting_ReportSelectedSimulationsINS" hidden="1">"AQA="</definedName>
    <definedName name="_AtRisk_ReportsSetting_ReportSelectedSimulationsOUT" hidden="1">"AQA="</definedName>
    <definedName name="_AtRisk_ReportsSetting_ReportSelectedSimulationsSCE" hidden="1">"AQA="</definedName>
    <definedName name="_AtRisk_ReportsSetting_ReportSelectedSimulationsSDA" hidden="1">"AQA="</definedName>
    <definedName name="_AtRisk_ReportsSetting_ReportSelectedSimulationsSEN" hidden="1">"AQA="</definedName>
    <definedName name="_AtRisk_ReportsSetting_ReportSelectedSimulationsSUM" hidden="1">"AQA="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0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_RiskCorrMatrix_NewMatrix1" hidden="1">1</definedName>
    <definedName name="BrowseRecords" localSheetId="2">RiskSerializationData8!$6:$9</definedName>
    <definedName name="DistributionRecords" localSheetId="2">RiskSerializationData8!$12:$45</definedName>
    <definedName name="NewMatrix1">#REF!</definedName>
    <definedName name="Pal_Workbook_GUID" hidden="1">"SNCQXILSVKQBY8J2P54GW1WZ"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ExternalFilePath" hidden="1">"C:\Users\250518\Desktop\SEF\Formula-based Analysis of SEF 11.05.2022 Risk.RSK5"</definedName>
    <definedName name="RiskSimulationResultsStorageLocation" hidden="1">"3"</definedName>
    <definedName name="RiskStandardRecalc" hidden="1">0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erializationHeader" localSheetId="2">RiskSerializationData8!$A$1:$B$3</definedName>
    <definedName name="solver_nsim" hidden="1">5</definedName>
    <definedName name="solver_ntri" hidden="1">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3" i="44" l="1"/>
  <c r="V84" i="44"/>
  <c r="V82" i="44"/>
  <c r="V72" i="44"/>
  <c r="V73" i="44"/>
  <c r="V74" i="44"/>
  <c r="V75" i="44"/>
  <c r="V76" i="44"/>
  <c r="V77" i="44"/>
  <c r="V78" i="44"/>
  <c r="V79" i="44"/>
  <c r="V80" i="44"/>
  <c r="V81" i="44"/>
  <c r="V71" i="44"/>
  <c r="L9" i="105"/>
  <c r="A9" i="105"/>
  <c r="L8" i="105"/>
  <c r="A8" i="105"/>
  <c r="L7" i="105"/>
  <c r="A7" i="105"/>
  <c r="L6" i="105"/>
  <c r="A6" i="105"/>
  <c r="A14" i="105"/>
  <c r="A13" i="105"/>
  <c r="A15" i="105"/>
  <c r="A12" i="105"/>
  <c r="A17" i="105"/>
  <c r="A16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44" i="105"/>
  <c r="A45" i="105"/>
  <c r="K64" i="44"/>
  <c r="L64" i="44" s="1"/>
  <c r="M64" i="44"/>
  <c r="N64" i="44" s="1"/>
  <c r="J63" i="44"/>
  <c r="K63" i="44" s="1"/>
  <c r="L63" i="44" s="1"/>
  <c r="J62" i="44"/>
  <c r="K62" i="44" s="1"/>
  <c r="L62" i="44" s="1"/>
  <c r="M62" i="44" s="1"/>
  <c r="N62" i="44" s="1"/>
  <c r="K61" i="44"/>
  <c r="L61" i="44" s="1"/>
  <c r="M61" i="44" s="1"/>
  <c r="N61" i="44" s="1"/>
  <c r="J60" i="44"/>
  <c r="K60" i="44" s="1"/>
  <c r="L60" i="44" s="1"/>
  <c r="M60" i="44" s="1"/>
  <c r="N60" i="44" s="1"/>
  <c r="E42" i="44"/>
  <c r="D42" i="44"/>
  <c r="C42" i="44"/>
  <c r="C41" i="44"/>
  <c r="C44" i="44" s="1"/>
  <c r="T39" i="44"/>
  <c r="K39" i="44"/>
  <c r="Q39" i="44"/>
  <c r="J39" i="44"/>
  <c r="R39" i="44" s="1"/>
  <c r="F39" i="44"/>
  <c r="G39" i="44"/>
  <c r="H39" i="44" s="1"/>
  <c r="I39" i="44" s="1"/>
  <c r="T38" i="44"/>
  <c r="K38" i="44"/>
  <c r="J38" i="44"/>
  <c r="N38" i="44"/>
  <c r="F38" i="44"/>
  <c r="G38" i="44" s="1"/>
  <c r="H38" i="44" s="1"/>
  <c r="I38" i="44"/>
  <c r="T37" i="44"/>
  <c r="K37" i="44"/>
  <c r="J37" i="44"/>
  <c r="R37" i="44"/>
  <c r="F37" i="44"/>
  <c r="G37" i="44" s="1"/>
  <c r="H37" i="44" s="1"/>
  <c r="L37" i="44" s="1"/>
  <c r="T36" i="44"/>
  <c r="K36" i="44"/>
  <c r="Q36" i="44" s="1"/>
  <c r="J36" i="44"/>
  <c r="R36" i="44"/>
  <c r="F36" i="44"/>
  <c r="G36" i="44"/>
  <c r="H36" i="44"/>
  <c r="I36" i="44" s="1"/>
  <c r="T35" i="44"/>
  <c r="K35" i="44"/>
  <c r="J35" i="44"/>
  <c r="F35" i="44"/>
  <c r="G35" i="44"/>
  <c r="H35" i="44"/>
  <c r="T34" i="44"/>
  <c r="K34" i="44"/>
  <c r="Q34" i="44"/>
  <c r="J34" i="44"/>
  <c r="R34" i="44"/>
  <c r="F34" i="44"/>
  <c r="G34" i="44"/>
  <c r="H34" i="44"/>
  <c r="T33" i="44"/>
  <c r="K33" i="44"/>
  <c r="J33" i="44"/>
  <c r="R33" i="44"/>
  <c r="F33" i="44"/>
  <c r="G33" i="44" s="1"/>
  <c r="H33" i="44" s="1"/>
  <c r="T32" i="44"/>
  <c r="K32" i="44"/>
  <c r="Q32" i="44" s="1"/>
  <c r="S32" i="44" s="1"/>
  <c r="V32" i="44" s="1"/>
  <c r="J32" i="44"/>
  <c r="R32" i="44"/>
  <c r="F32" i="44"/>
  <c r="G32" i="44" s="1"/>
  <c r="H32" i="44" s="1"/>
  <c r="I32" i="44" s="1"/>
  <c r="T31" i="44"/>
  <c r="K31" i="44"/>
  <c r="J31" i="44"/>
  <c r="R31" i="44"/>
  <c r="F31" i="44"/>
  <c r="G31" i="44" s="1"/>
  <c r="H31" i="44" s="1"/>
  <c r="I31" i="44"/>
  <c r="T30" i="44"/>
  <c r="K30" i="44"/>
  <c r="Q30" i="44"/>
  <c r="S30" i="44" s="1"/>
  <c r="J30" i="44"/>
  <c r="R30" i="44"/>
  <c r="F30" i="44"/>
  <c r="G30" i="44"/>
  <c r="H30" i="44"/>
  <c r="L30" i="44" s="1"/>
  <c r="T29" i="44"/>
  <c r="K29" i="44"/>
  <c r="J29" i="44"/>
  <c r="F29" i="44"/>
  <c r="G29" i="44"/>
  <c r="H29" i="44" s="1"/>
  <c r="L29" i="44" s="1"/>
  <c r="T28" i="44"/>
  <c r="K28" i="44"/>
  <c r="J28" i="44"/>
  <c r="F28" i="44"/>
  <c r="G28" i="44" s="1"/>
  <c r="H28" i="44" s="1"/>
  <c r="L28" i="44" s="1"/>
  <c r="T27" i="44"/>
  <c r="K27" i="44"/>
  <c r="J27" i="44"/>
  <c r="F27" i="44"/>
  <c r="G27" i="44"/>
  <c r="H27" i="44" s="1"/>
  <c r="I27" i="44" s="1"/>
  <c r="T26" i="44"/>
  <c r="K26" i="44"/>
  <c r="N26" i="44" s="1"/>
  <c r="Q26" i="44"/>
  <c r="J26" i="44"/>
  <c r="F26" i="44"/>
  <c r="G26" i="44" s="1"/>
  <c r="H26" i="44" s="1"/>
  <c r="T25" i="44"/>
  <c r="K25" i="44"/>
  <c r="Q25" i="44" s="1"/>
  <c r="J25" i="44"/>
  <c r="F25" i="44"/>
  <c r="G25" i="44"/>
  <c r="H25" i="44" s="1"/>
  <c r="T24" i="44"/>
  <c r="K24" i="44"/>
  <c r="Q24" i="44"/>
  <c r="S24" i="44" s="1"/>
  <c r="J24" i="44"/>
  <c r="N24" i="44" s="1"/>
  <c r="F24" i="44"/>
  <c r="G24" i="44"/>
  <c r="H24" i="44"/>
  <c r="I24" i="44" s="1"/>
  <c r="T23" i="44"/>
  <c r="K23" i="44"/>
  <c r="J23" i="44"/>
  <c r="F23" i="44"/>
  <c r="G23" i="44"/>
  <c r="H23" i="44"/>
  <c r="I23" i="44"/>
  <c r="T22" i="44"/>
  <c r="K22" i="44"/>
  <c r="J22" i="44"/>
  <c r="N22" i="44"/>
  <c r="F22" i="44"/>
  <c r="G22" i="44"/>
  <c r="H22" i="44"/>
  <c r="I22" i="44"/>
  <c r="T21" i="44"/>
  <c r="K21" i="44"/>
  <c r="J21" i="44"/>
  <c r="R21" i="44"/>
  <c r="F21" i="44"/>
  <c r="G21" i="44"/>
  <c r="H21" i="44"/>
  <c r="I21" i="44"/>
  <c r="T20" i="44"/>
  <c r="K20" i="44"/>
  <c r="J20" i="44"/>
  <c r="R20" i="44"/>
  <c r="F20" i="44"/>
  <c r="G20" i="44"/>
  <c r="H20" i="44"/>
  <c r="I20" i="44"/>
  <c r="T19" i="44"/>
  <c r="K19" i="44"/>
  <c r="Q19" i="44"/>
  <c r="S19" i="44" s="1"/>
  <c r="J19" i="44"/>
  <c r="F19" i="44"/>
  <c r="G19" i="44"/>
  <c r="H19" i="44"/>
  <c r="I19" i="44" s="1"/>
  <c r="L19" i="44"/>
  <c r="T18" i="44"/>
  <c r="K18" i="44"/>
  <c r="Q18" i="44" s="1"/>
  <c r="J18" i="44"/>
  <c r="F18" i="44"/>
  <c r="G18" i="44"/>
  <c r="H18" i="44" s="1"/>
  <c r="T17" i="44"/>
  <c r="K17" i="44"/>
  <c r="J17" i="44"/>
  <c r="N17" i="44" s="1"/>
  <c r="F17" i="44"/>
  <c r="G17" i="44" s="1"/>
  <c r="H17" i="44" s="1"/>
  <c r="T16" i="44"/>
  <c r="K16" i="44"/>
  <c r="J16" i="44"/>
  <c r="F16" i="44"/>
  <c r="G16" i="44"/>
  <c r="H16" i="44"/>
  <c r="I16" i="44" s="1"/>
  <c r="T15" i="44"/>
  <c r="K15" i="44"/>
  <c r="Q15" i="44"/>
  <c r="S15" i="44" s="1"/>
  <c r="V15" i="44" s="1"/>
  <c r="J15" i="44"/>
  <c r="R15" i="44"/>
  <c r="F15" i="44"/>
  <c r="G15" i="44"/>
  <c r="H15" i="44" s="1"/>
  <c r="I15" i="44" s="1"/>
  <c r="O15" i="44"/>
  <c r="T14" i="44"/>
  <c r="K14" i="44"/>
  <c r="Q14" i="44"/>
  <c r="J14" i="44"/>
  <c r="F14" i="44"/>
  <c r="A14" i="44"/>
  <c r="T13" i="44"/>
  <c r="K13" i="44"/>
  <c r="J13" i="44"/>
  <c r="R13" i="44" s="1"/>
  <c r="F13" i="44"/>
  <c r="G13" i="44"/>
  <c r="H13" i="44"/>
  <c r="I13" i="44" s="1"/>
  <c r="T12" i="44"/>
  <c r="K12" i="44"/>
  <c r="J12" i="44"/>
  <c r="F12" i="44"/>
  <c r="G12" i="44" s="1"/>
  <c r="H12" i="44" s="1"/>
  <c r="T11" i="44"/>
  <c r="K11" i="44"/>
  <c r="Q11" i="44"/>
  <c r="J11" i="44"/>
  <c r="F11" i="44"/>
  <c r="G11" i="44" s="1"/>
  <c r="T10" i="44"/>
  <c r="K10" i="44"/>
  <c r="J10" i="44"/>
  <c r="F10" i="44"/>
  <c r="K64" i="39"/>
  <c r="L64" i="39" s="1"/>
  <c r="M64" i="39" s="1"/>
  <c r="N64" i="39" s="1"/>
  <c r="J63" i="39"/>
  <c r="K63" i="39"/>
  <c r="L63" i="39" s="1"/>
  <c r="M63" i="39" s="1"/>
  <c r="N63" i="39" s="1"/>
  <c r="J62" i="39"/>
  <c r="K62" i="39"/>
  <c r="L62" i="39" s="1"/>
  <c r="M62" i="39" s="1"/>
  <c r="N62" i="39" s="1"/>
  <c r="K61" i="39"/>
  <c r="L61" i="39" s="1"/>
  <c r="M61" i="39"/>
  <c r="N61" i="39" s="1"/>
  <c r="J60" i="39"/>
  <c r="K60" i="39" s="1"/>
  <c r="L60" i="39" s="1"/>
  <c r="M60" i="39" s="1"/>
  <c r="N60" i="39"/>
  <c r="E42" i="39"/>
  <c r="D42" i="39"/>
  <c r="C42" i="39"/>
  <c r="C41" i="39"/>
  <c r="C44" i="39" s="1"/>
  <c r="T39" i="39"/>
  <c r="K39" i="39"/>
  <c r="J39" i="39"/>
  <c r="R39" i="39" s="1"/>
  <c r="F39" i="39"/>
  <c r="G39" i="39" s="1"/>
  <c r="H39" i="39" s="1"/>
  <c r="I39" i="39" s="1"/>
  <c r="T38" i="39"/>
  <c r="K38" i="39"/>
  <c r="J38" i="39"/>
  <c r="R38" i="39" s="1"/>
  <c r="F38" i="39"/>
  <c r="G38" i="39"/>
  <c r="H38" i="39" s="1"/>
  <c r="I38" i="39" s="1"/>
  <c r="T37" i="39"/>
  <c r="K37" i="39"/>
  <c r="Q37" i="39"/>
  <c r="J37" i="39"/>
  <c r="R37" i="39"/>
  <c r="F37" i="39"/>
  <c r="G37" i="39"/>
  <c r="H37" i="39" s="1"/>
  <c r="L37" i="39" s="1"/>
  <c r="T36" i="39"/>
  <c r="K36" i="39"/>
  <c r="J36" i="39"/>
  <c r="F36" i="39"/>
  <c r="G36" i="39"/>
  <c r="H36" i="39" s="1"/>
  <c r="I36" i="39" s="1"/>
  <c r="T35" i="39"/>
  <c r="K35" i="39"/>
  <c r="Q35" i="39" s="1"/>
  <c r="J35" i="39"/>
  <c r="N35" i="39" s="1"/>
  <c r="F35" i="39"/>
  <c r="G35" i="39" s="1"/>
  <c r="H35" i="39" s="1"/>
  <c r="T34" i="39"/>
  <c r="K34" i="39"/>
  <c r="Q34" i="39" s="1"/>
  <c r="J34" i="39"/>
  <c r="R34" i="39" s="1"/>
  <c r="F34" i="39"/>
  <c r="G34" i="39" s="1"/>
  <c r="H34" i="39" s="1"/>
  <c r="I34" i="39" s="1"/>
  <c r="T33" i="39"/>
  <c r="K33" i="39"/>
  <c r="J33" i="39"/>
  <c r="F33" i="39"/>
  <c r="G33" i="39" s="1"/>
  <c r="H33" i="39" s="1"/>
  <c r="I33" i="39" s="1"/>
  <c r="T32" i="39"/>
  <c r="K32" i="39"/>
  <c r="Q32" i="39" s="1"/>
  <c r="J32" i="39"/>
  <c r="R32" i="39" s="1"/>
  <c r="N32" i="39"/>
  <c r="F32" i="39"/>
  <c r="G32" i="39"/>
  <c r="H32" i="39"/>
  <c r="T31" i="39"/>
  <c r="K31" i="39"/>
  <c r="J31" i="39"/>
  <c r="F31" i="39"/>
  <c r="G31" i="39" s="1"/>
  <c r="H31" i="39" s="1"/>
  <c r="T30" i="39"/>
  <c r="K30" i="39"/>
  <c r="J30" i="39"/>
  <c r="F30" i="39"/>
  <c r="G30" i="39" s="1"/>
  <c r="H30" i="39"/>
  <c r="I30" i="39" s="1"/>
  <c r="T29" i="39"/>
  <c r="K29" i="39"/>
  <c r="Q29" i="39"/>
  <c r="J29" i="39"/>
  <c r="F29" i="39"/>
  <c r="G29" i="39" s="1"/>
  <c r="H29" i="39" s="1"/>
  <c r="T28" i="39"/>
  <c r="K28" i="39"/>
  <c r="J28" i="39"/>
  <c r="F28" i="39"/>
  <c r="G28" i="39" s="1"/>
  <c r="H28" i="39" s="1"/>
  <c r="I28" i="39"/>
  <c r="T27" i="39"/>
  <c r="K27" i="39"/>
  <c r="Q27" i="39" s="1"/>
  <c r="J27" i="39"/>
  <c r="F27" i="39"/>
  <c r="G27" i="39" s="1"/>
  <c r="H27" i="39" s="1"/>
  <c r="I27" i="39" s="1"/>
  <c r="T26" i="39"/>
  <c r="K26" i="39"/>
  <c r="J26" i="39"/>
  <c r="R26" i="39"/>
  <c r="F26" i="39"/>
  <c r="G26" i="39" s="1"/>
  <c r="H26" i="39"/>
  <c r="T25" i="39"/>
  <c r="K25" i="39"/>
  <c r="J25" i="39"/>
  <c r="N25" i="39" s="1"/>
  <c r="F25" i="39"/>
  <c r="G25" i="39" s="1"/>
  <c r="H25" i="39" s="1"/>
  <c r="L25" i="39" s="1"/>
  <c r="T24" i="39"/>
  <c r="K24" i="39"/>
  <c r="Q24" i="39"/>
  <c r="J24" i="39"/>
  <c r="R24" i="39" s="1"/>
  <c r="F24" i="39"/>
  <c r="G24" i="39" s="1"/>
  <c r="H24" i="39" s="1"/>
  <c r="T23" i="39"/>
  <c r="K23" i="39"/>
  <c r="Q23" i="39" s="1"/>
  <c r="J23" i="39"/>
  <c r="F23" i="39"/>
  <c r="G23" i="39" s="1"/>
  <c r="H23" i="39" s="1"/>
  <c r="I23" i="39" s="1"/>
  <c r="T22" i="39"/>
  <c r="K22" i="39"/>
  <c r="Q22" i="39" s="1"/>
  <c r="J22" i="39"/>
  <c r="R22" i="39"/>
  <c r="F22" i="39"/>
  <c r="G22" i="39" s="1"/>
  <c r="H22" i="39"/>
  <c r="I22" i="39" s="1"/>
  <c r="T21" i="39"/>
  <c r="K21" i="39"/>
  <c r="N21" i="39"/>
  <c r="J21" i="39"/>
  <c r="R21" i="39"/>
  <c r="F21" i="39"/>
  <c r="G21" i="39"/>
  <c r="H21" i="39" s="1"/>
  <c r="L21" i="39" s="1"/>
  <c r="I21" i="39"/>
  <c r="T20" i="39"/>
  <c r="K20" i="39"/>
  <c r="J20" i="39"/>
  <c r="F20" i="39"/>
  <c r="G20" i="39" s="1"/>
  <c r="H20" i="39" s="1"/>
  <c r="I20" i="39" s="1"/>
  <c r="T19" i="39"/>
  <c r="K19" i="39"/>
  <c r="Q19" i="39"/>
  <c r="J19" i="39"/>
  <c r="F19" i="39"/>
  <c r="G19" i="39" s="1"/>
  <c r="H19" i="39" s="1"/>
  <c r="I19" i="39" s="1"/>
  <c r="S19" i="39" s="1"/>
  <c r="T18" i="39"/>
  <c r="K18" i="39"/>
  <c r="Q18" i="39"/>
  <c r="J18" i="39"/>
  <c r="F18" i="39"/>
  <c r="G18" i="39" s="1"/>
  <c r="H18" i="39"/>
  <c r="I18" i="39" s="1"/>
  <c r="T17" i="39"/>
  <c r="K17" i="39"/>
  <c r="Q17" i="39" s="1"/>
  <c r="J17" i="39"/>
  <c r="R17" i="39"/>
  <c r="F17" i="39"/>
  <c r="G17" i="39"/>
  <c r="H17" i="39" s="1"/>
  <c r="I17" i="39" s="1"/>
  <c r="T16" i="39"/>
  <c r="K16" i="39"/>
  <c r="Q16" i="39"/>
  <c r="J16" i="39"/>
  <c r="N16" i="39"/>
  <c r="F16" i="39"/>
  <c r="G16" i="39"/>
  <c r="H16" i="39" s="1"/>
  <c r="L16" i="39" s="1"/>
  <c r="T15" i="39"/>
  <c r="K15" i="39"/>
  <c r="J15" i="39"/>
  <c r="R15" i="39"/>
  <c r="F15" i="39"/>
  <c r="T14" i="39"/>
  <c r="K14" i="39"/>
  <c r="J14" i="39"/>
  <c r="N14" i="39" s="1"/>
  <c r="F14" i="39"/>
  <c r="G14" i="39" s="1"/>
  <c r="H14" i="39" s="1"/>
  <c r="L14" i="39" s="1"/>
  <c r="A14" i="39"/>
  <c r="T13" i="39"/>
  <c r="K13" i="39"/>
  <c r="J13" i="39"/>
  <c r="F13" i="39"/>
  <c r="G13" i="39" s="1"/>
  <c r="H13" i="39" s="1"/>
  <c r="I13" i="39" s="1"/>
  <c r="T12" i="39"/>
  <c r="K12" i="39"/>
  <c r="J12" i="39"/>
  <c r="F12" i="39"/>
  <c r="G12" i="39" s="1"/>
  <c r="H12" i="39" s="1"/>
  <c r="I12" i="39"/>
  <c r="T11" i="39"/>
  <c r="K11" i="39"/>
  <c r="N11" i="39" s="1"/>
  <c r="J11" i="39"/>
  <c r="R11" i="39"/>
  <c r="F11" i="39"/>
  <c r="G11" i="39"/>
  <c r="H11" i="39" s="1"/>
  <c r="I11" i="39" s="1"/>
  <c r="T10" i="39"/>
  <c r="K10" i="39"/>
  <c r="Q10" i="39" s="1"/>
  <c r="J10" i="39"/>
  <c r="J42" i="39" s="1"/>
  <c r="F10" i="39"/>
  <c r="G10" i="39" s="1"/>
  <c r="H10" i="39" s="1"/>
  <c r="H16" i="15"/>
  <c r="B1" i="15"/>
  <c r="P102" i="44"/>
  <c r="R16" i="44"/>
  <c r="Q14" i="39"/>
  <c r="R22" i="44"/>
  <c r="R33" i="39"/>
  <c r="N20" i="44"/>
  <c r="O20" i="44" s="1"/>
  <c r="Q28" i="44"/>
  <c r="S28" i="44" s="1"/>
  <c r="G14" i="44"/>
  <c r="H14" i="44" s="1"/>
  <c r="I14" i="44" s="1"/>
  <c r="Q31" i="44"/>
  <c r="S31" i="44" s="1"/>
  <c r="R35" i="44"/>
  <c r="N21" i="44"/>
  <c r="O21" i="44" s="1"/>
  <c r="N30" i="44"/>
  <c r="O30" i="44" s="1"/>
  <c r="Q16" i="44"/>
  <c r="S16" i="44" s="1"/>
  <c r="R28" i="44"/>
  <c r="N28" i="44"/>
  <c r="N32" i="44"/>
  <c r="Q21" i="39"/>
  <c r="R25" i="39"/>
  <c r="R38" i="44"/>
  <c r="O38" i="44"/>
  <c r="R26" i="44"/>
  <c r="R14" i="39"/>
  <c r="L23" i="39"/>
  <c r="N33" i="44"/>
  <c r="R10" i="44"/>
  <c r="R24" i="44"/>
  <c r="N39" i="44"/>
  <c r="N34" i="44"/>
  <c r="I17" i="44"/>
  <c r="O17" i="44" s="1"/>
  <c r="I33" i="44"/>
  <c r="R16" i="39"/>
  <c r="L24" i="44"/>
  <c r="Q31" i="39"/>
  <c r="Q12" i="44"/>
  <c r="Q33" i="39"/>
  <c r="Q23" i="44"/>
  <c r="L31" i="44"/>
  <c r="Q29" i="44"/>
  <c r="Q25" i="39"/>
  <c r="L32" i="44"/>
  <c r="I26" i="44"/>
  <c r="L26" i="44"/>
  <c r="L22" i="39"/>
  <c r="I30" i="44"/>
  <c r="N36" i="44"/>
  <c r="O36" i="44" s="1"/>
  <c r="N15" i="44"/>
  <c r="I28" i="44"/>
  <c r="R20" i="39"/>
  <c r="R27" i="44"/>
  <c r="R17" i="44"/>
  <c r="I37" i="44"/>
  <c r="Q38" i="44"/>
  <c r="S38" i="44" s="1"/>
  <c r="V38" i="44" s="1"/>
  <c r="L38" i="44"/>
  <c r="R18" i="39"/>
  <c r="S18" i="39" s="1"/>
  <c r="N18" i="39"/>
  <c r="O18" i="39" s="1"/>
  <c r="F42" i="44"/>
  <c r="G10" i="44"/>
  <c r="H10" i="44"/>
  <c r="L10" i="44" s="1"/>
  <c r="N24" i="39"/>
  <c r="I26" i="39"/>
  <c r="R35" i="39"/>
  <c r="L14" i="44"/>
  <c r="R19" i="44"/>
  <c r="N19" i="44"/>
  <c r="O19" i="44"/>
  <c r="Q22" i="44"/>
  <c r="S22" i="44" s="1"/>
  <c r="V22" i="44" s="1"/>
  <c r="L22" i="44"/>
  <c r="R25" i="44"/>
  <c r="N15" i="39"/>
  <c r="Q39" i="39"/>
  <c r="S39" i="39"/>
  <c r="I10" i="44"/>
  <c r="S22" i="39"/>
  <c r="V22" i="39" s="1"/>
  <c r="S21" i="39"/>
  <c r="V21" i="39" s="1"/>
  <c r="L31" i="39"/>
  <c r="I37" i="39"/>
  <c r="R28" i="39"/>
  <c r="N28" i="39"/>
  <c r="O28" i="39" s="1"/>
  <c r="Q20" i="44"/>
  <c r="S20" i="44" s="1"/>
  <c r="L20" i="44"/>
  <c r="R23" i="44"/>
  <c r="N23" i="44"/>
  <c r="O23" i="44"/>
  <c r="L35" i="44"/>
  <c r="I35" i="44"/>
  <c r="N37" i="39"/>
  <c r="O37" i="39" s="1"/>
  <c r="R10" i="39"/>
  <c r="R19" i="39"/>
  <c r="N19" i="39"/>
  <c r="N33" i="39"/>
  <c r="Q13" i="44"/>
  <c r="S13" i="44" s="1"/>
  <c r="V13" i="44" s="1"/>
  <c r="N13" i="44"/>
  <c r="O13" i="44"/>
  <c r="L13" i="44"/>
  <c r="I46" i="44"/>
  <c r="O47" i="44" s="1"/>
  <c r="N16" i="44"/>
  <c r="O16" i="44"/>
  <c r="I46" i="39"/>
  <c r="J55" i="39" s="1"/>
  <c r="I16" i="39"/>
  <c r="L34" i="39"/>
  <c r="S34" i="39"/>
  <c r="U34" i="39" s="1"/>
  <c r="Q21" i="44"/>
  <c r="S21" i="44" s="1"/>
  <c r="V21" i="44" s="1"/>
  <c r="L21" i="44"/>
  <c r="N13" i="39"/>
  <c r="R13" i="39"/>
  <c r="R27" i="39"/>
  <c r="S27" i="39"/>
  <c r="N27" i="39"/>
  <c r="O27" i="39" s="1"/>
  <c r="I34" i="44"/>
  <c r="L34" i="44"/>
  <c r="O39" i="44"/>
  <c r="N31" i="44"/>
  <c r="O31" i="44"/>
  <c r="O11" i="39"/>
  <c r="L15" i="44"/>
  <c r="R18" i="44"/>
  <c r="N18" i="44"/>
  <c r="Q33" i="44"/>
  <c r="S33" i="44" s="1"/>
  <c r="V33" i="44" s="1"/>
  <c r="L33" i="44"/>
  <c r="L23" i="44"/>
  <c r="O47" i="39"/>
  <c r="U21" i="39"/>
  <c r="J55" i="44"/>
  <c r="K55" i="44" s="1"/>
  <c r="I31" i="39"/>
  <c r="K55" i="39"/>
  <c r="K70" i="39" s="1"/>
  <c r="J70" i="39"/>
  <c r="J96" i="39" s="1"/>
  <c r="L55" i="39"/>
  <c r="M55" i="39" s="1"/>
  <c r="W54" i="39"/>
  <c r="L55" i="44"/>
  <c r="M55" i="44" s="1"/>
  <c r="J57" i="39"/>
  <c r="K57" i="39" s="1"/>
  <c r="L57" i="39" s="1"/>
  <c r="M57" i="39" s="1"/>
  <c r="N57" i="39" s="1"/>
  <c r="U39" i="39"/>
  <c r="V39" i="39"/>
  <c r="U22" i="39"/>
  <c r="O33" i="44"/>
  <c r="L19" i="39"/>
  <c r="I10" i="39"/>
  <c r="L10" i="39"/>
  <c r="L12" i="39"/>
  <c r="Q12" i="39"/>
  <c r="N11" i="44"/>
  <c r="R11" i="44"/>
  <c r="J42" i="44"/>
  <c r="R14" i="44"/>
  <c r="N14" i="44"/>
  <c r="O14" i="44" s="1"/>
  <c r="Q15" i="39"/>
  <c r="Q28" i="39"/>
  <c r="S28" i="39"/>
  <c r="L28" i="39"/>
  <c r="R29" i="39"/>
  <c r="N29" i="39"/>
  <c r="L32" i="39"/>
  <c r="I32" i="39"/>
  <c r="S32" i="39"/>
  <c r="Q36" i="39"/>
  <c r="L36" i="39"/>
  <c r="L39" i="39"/>
  <c r="N39" i="39"/>
  <c r="O39" i="39" s="1"/>
  <c r="N10" i="44"/>
  <c r="O10" i="44" s="1"/>
  <c r="Q10" i="44"/>
  <c r="S10" i="44" s="1"/>
  <c r="V10" i="44" s="1"/>
  <c r="O26" i="44"/>
  <c r="Q35" i="44"/>
  <c r="S35" i="44" s="1"/>
  <c r="N35" i="44"/>
  <c r="O35" i="44" s="1"/>
  <c r="K42" i="39"/>
  <c r="N10" i="39"/>
  <c r="O10" i="39" s="1"/>
  <c r="Q11" i="39"/>
  <c r="S11" i="39" s="1"/>
  <c r="L11" i="39"/>
  <c r="L13" i="39"/>
  <c r="Q13" i="39"/>
  <c r="G15" i="39"/>
  <c r="H15" i="39" s="1"/>
  <c r="F42" i="39"/>
  <c r="N30" i="39"/>
  <c r="O30" i="39"/>
  <c r="R30" i="39"/>
  <c r="S30" i="39" s="1"/>
  <c r="N31" i="39"/>
  <c r="O31" i="39" s="1"/>
  <c r="R31" i="39"/>
  <c r="S31" i="39" s="1"/>
  <c r="L35" i="39"/>
  <c r="I35" i="39"/>
  <c r="R12" i="44"/>
  <c r="N12" i="44"/>
  <c r="L27" i="44"/>
  <c r="N27" i="44"/>
  <c r="O27" i="44" s="1"/>
  <c r="Q27" i="44"/>
  <c r="S27" i="44" s="1"/>
  <c r="R29" i="44"/>
  <c r="N29" i="44"/>
  <c r="Q30" i="39"/>
  <c r="L30" i="39"/>
  <c r="Q38" i="39"/>
  <c r="S38" i="39"/>
  <c r="V38" i="39" s="1"/>
  <c r="N38" i="39"/>
  <c r="O38" i="39" s="1"/>
  <c r="L38" i="39"/>
  <c r="H11" i="44"/>
  <c r="L11" i="44" s="1"/>
  <c r="G42" i="44"/>
  <c r="L33" i="39"/>
  <c r="R36" i="39"/>
  <c r="S36" i="39" s="1"/>
  <c r="N36" i="39"/>
  <c r="O36" i="39" s="1"/>
  <c r="N37" i="44"/>
  <c r="O37" i="44" s="1"/>
  <c r="Q37" i="44"/>
  <c r="S37" i="44" s="1"/>
  <c r="V37" i="44" s="1"/>
  <c r="I25" i="44"/>
  <c r="L25" i="44"/>
  <c r="O28" i="44"/>
  <c r="L36" i="44"/>
  <c r="R12" i="39"/>
  <c r="S12" i="39" s="1"/>
  <c r="N12" i="39"/>
  <c r="O12" i="39" s="1"/>
  <c r="Q17" i="44"/>
  <c r="S17" i="44" s="1"/>
  <c r="L17" i="44"/>
  <c r="O22" i="44"/>
  <c r="L17" i="39"/>
  <c r="I11" i="44"/>
  <c r="H42" i="44"/>
  <c r="H52" i="44" s="1"/>
  <c r="U32" i="39"/>
  <c r="V32" i="39"/>
  <c r="O32" i="39"/>
  <c r="S35" i="39"/>
  <c r="O35" i="39"/>
  <c r="G42" i="39"/>
  <c r="V28" i="39"/>
  <c r="U28" i="39"/>
  <c r="U38" i="39"/>
  <c r="O11" i="44"/>
  <c r="S10" i="39"/>
  <c r="U35" i="39"/>
  <c r="V35" i="39"/>
  <c r="U10" i="39"/>
  <c r="K70" i="44" l="1"/>
  <c r="U38" i="44"/>
  <c r="M63" i="44"/>
  <c r="N63" i="44" s="1"/>
  <c r="L70" i="44"/>
  <c r="U15" i="44"/>
  <c r="S36" i="44"/>
  <c r="V36" i="44" s="1"/>
  <c r="U10" i="44"/>
  <c r="S25" i="44"/>
  <c r="V25" i="44" s="1"/>
  <c r="S23" i="44"/>
  <c r="V23" i="44" s="1"/>
  <c r="S14" i="44"/>
  <c r="U14" i="44" s="1"/>
  <c r="U19" i="44"/>
  <c r="V19" i="44"/>
  <c r="U31" i="44"/>
  <c r="V31" i="44"/>
  <c r="V30" i="44"/>
  <c r="U30" i="44"/>
  <c r="U13" i="44"/>
  <c r="U32" i="44"/>
  <c r="U22" i="44"/>
  <c r="U24" i="44"/>
  <c r="U37" i="44"/>
  <c r="A18" i="105"/>
  <c r="A42" i="105"/>
  <c r="A43" i="105"/>
  <c r="M70" i="39"/>
  <c r="N55" i="39"/>
  <c r="N70" i="39" s="1"/>
  <c r="V28" i="44"/>
  <c r="U28" i="44"/>
  <c r="S13" i="39"/>
  <c r="I24" i="39"/>
  <c r="O24" i="39" s="1"/>
  <c r="L24" i="39"/>
  <c r="V17" i="44"/>
  <c r="U17" i="44"/>
  <c r="U31" i="39"/>
  <c r="V31" i="39"/>
  <c r="U20" i="44"/>
  <c r="V20" i="44"/>
  <c r="U19" i="39"/>
  <c r="V19" i="39"/>
  <c r="U36" i="39"/>
  <c r="V36" i="39"/>
  <c r="S29" i="44"/>
  <c r="V35" i="44"/>
  <c r="U35" i="44"/>
  <c r="S29" i="39"/>
  <c r="M70" i="44"/>
  <c r="N55" i="44"/>
  <c r="N70" i="44" s="1"/>
  <c r="Q70" i="44" s="1"/>
  <c r="V16" i="44"/>
  <c r="U16" i="44"/>
  <c r="V12" i="39"/>
  <c r="U12" i="39"/>
  <c r="V27" i="44"/>
  <c r="U27" i="44"/>
  <c r="V30" i="39"/>
  <c r="U30" i="39"/>
  <c r="I15" i="39"/>
  <c r="O15" i="39" s="1"/>
  <c r="L15" i="39"/>
  <c r="H42" i="39"/>
  <c r="H52" i="39" s="1"/>
  <c r="I47" i="39"/>
  <c r="S15" i="39"/>
  <c r="U11" i="39"/>
  <c r="V11" i="39"/>
  <c r="V10" i="39"/>
  <c r="S11" i="44"/>
  <c r="J57" i="44"/>
  <c r="K57" i="44" s="1"/>
  <c r="L57" i="44" s="1"/>
  <c r="M57" i="44" s="1"/>
  <c r="N57" i="44" s="1"/>
  <c r="V27" i="39"/>
  <c r="U27" i="39"/>
  <c r="V24" i="44"/>
  <c r="S33" i="39"/>
  <c r="S17" i="39"/>
  <c r="L18" i="39"/>
  <c r="Q20" i="39"/>
  <c r="S20" i="39" s="1"/>
  <c r="N20" i="39"/>
  <c r="O20" i="39" s="1"/>
  <c r="L20" i="39"/>
  <c r="Q26" i="39"/>
  <c r="L26" i="39"/>
  <c r="N26" i="39"/>
  <c r="O26" i="39" s="1"/>
  <c r="S37" i="39"/>
  <c r="I12" i="44"/>
  <c r="S12" i="44" s="1"/>
  <c r="L12" i="44"/>
  <c r="L42" i="44" s="1"/>
  <c r="L70" i="39"/>
  <c r="O33" i="39"/>
  <c r="I14" i="39"/>
  <c r="O14" i="39" s="1"/>
  <c r="O16" i="39"/>
  <c r="O25" i="39"/>
  <c r="O19" i="39"/>
  <c r="S14" i="39"/>
  <c r="R23" i="39"/>
  <c r="S23" i="39" s="1"/>
  <c r="N23" i="39"/>
  <c r="O23" i="39" s="1"/>
  <c r="S26" i="39"/>
  <c r="I18" i="44"/>
  <c r="S18" i="44" s="1"/>
  <c r="L18" i="44"/>
  <c r="I47" i="44"/>
  <c r="J76" i="39"/>
  <c r="J70" i="44"/>
  <c r="V34" i="39"/>
  <c r="U21" i="44"/>
  <c r="U33" i="44"/>
  <c r="O34" i="44"/>
  <c r="S34" i="44"/>
  <c r="O13" i="39"/>
  <c r="V18" i="39"/>
  <c r="U18" i="39"/>
  <c r="S16" i="39"/>
  <c r="O21" i="39"/>
  <c r="I25" i="39"/>
  <c r="S25" i="39" s="1"/>
  <c r="L29" i="39"/>
  <c r="I29" i="39"/>
  <c r="O29" i="39" s="1"/>
  <c r="L16" i="44"/>
  <c r="L27" i="39"/>
  <c r="N25" i="44"/>
  <c r="O25" i="44" s="1"/>
  <c r="O32" i="44"/>
  <c r="K42" i="44"/>
  <c r="O24" i="44"/>
  <c r="N34" i="39"/>
  <c r="O34" i="39" s="1"/>
  <c r="S26" i="44"/>
  <c r="N17" i="39"/>
  <c r="O17" i="39" s="1"/>
  <c r="N22" i="39"/>
  <c r="O22" i="39" s="1"/>
  <c r="I29" i="44"/>
  <c r="O29" i="44" s="1"/>
  <c r="L39" i="44"/>
  <c r="S39" i="44"/>
  <c r="U36" i="44" l="1"/>
  <c r="U23" i="44"/>
  <c r="V14" i="44"/>
  <c r="U25" i="44"/>
  <c r="V26" i="44"/>
  <c r="U26" i="44"/>
  <c r="O18" i="44"/>
  <c r="V39" i="44"/>
  <c r="U39" i="44"/>
  <c r="J96" i="44"/>
  <c r="J76" i="44"/>
  <c r="J105" i="44"/>
  <c r="V14" i="39"/>
  <c r="U14" i="39"/>
  <c r="U20" i="39"/>
  <c r="V20" i="39"/>
  <c r="V11" i="44"/>
  <c r="U11" i="44"/>
  <c r="S42" i="44"/>
  <c r="L47" i="44"/>
  <c r="U13" i="39"/>
  <c r="V13" i="39"/>
  <c r="V25" i="39"/>
  <c r="U25" i="39"/>
  <c r="V34" i="44"/>
  <c r="U34" i="44"/>
  <c r="V23" i="39"/>
  <c r="U23" i="39"/>
  <c r="V15" i="39"/>
  <c r="U15" i="39"/>
  <c r="V16" i="39"/>
  <c r="U16" i="39"/>
  <c r="J82" i="39"/>
  <c r="U26" i="39"/>
  <c r="V26" i="39"/>
  <c r="U12" i="44"/>
  <c r="V12" i="44"/>
  <c r="O12" i="44"/>
  <c r="S24" i="39"/>
  <c r="L47" i="39"/>
  <c r="V37" i="39"/>
  <c r="U37" i="39"/>
  <c r="V17" i="39"/>
  <c r="U17" i="39"/>
  <c r="S42" i="39"/>
  <c r="L42" i="39"/>
  <c r="V29" i="39"/>
  <c r="U29" i="39"/>
  <c r="V29" i="44"/>
  <c r="U29" i="44"/>
  <c r="V18" i="44"/>
  <c r="U18" i="44"/>
  <c r="U33" i="39"/>
  <c r="V33" i="39"/>
  <c r="I42" i="44"/>
  <c r="I42" i="39"/>
  <c r="V42" i="44" l="1"/>
  <c r="J65" i="39"/>
  <c r="U62" i="39"/>
  <c r="S43" i="39"/>
  <c r="U54" i="39"/>
  <c r="J58" i="39"/>
  <c r="J56" i="39"/>
  <c r="U24" i="39"/>
  <c r="V24" i="39"/>
  <c r="V42" i="39" s="1"/>
  <c r="S43" i="44"/>
  <c r="J65" i="44"/>
  <c r="K65" i="44" s="1"/>
  <c r="L65" i="44" s="1"/>
  <c r="M65" i="44" s="1"/>
  <c r="N65" i="44" s="1"/>
  <c r="J82" i="44"/>
  <c r="J90" i="39"/>
  <c r="J58" i="44"/>
  <c r="J97" i="44" s="1"/>
  <c r="J56" i="44"/>
  <c r="J106" i="44"/>
  <c r="J108" i="44" s="1"/>
  <c r="K105" i="44"/>
  <c r="J86" i="44" l="1"/>
  <c r="J87" i="44" s="1"/>
  <c r="J88" i="44" s="1"/>
  <c r="K58" i="39"/>
  <c r="J97" i="39"/>
  <c r="J91" i="39"/>
  <c r="K65" i="39"/>
  <c r="L65" i="39" s="1"/>
  <c r="M65" i="39" s="1"/>
  <c r="N65" i="39" s="1"/>
  <c r="J86" i="39"/>
  <c r="J87" i="39" s="1"/>
  <c r="J88" i="39" s="1"/>
  <c r="J93" i="39" s="1"/>
  <c r="V54" i="39"/>
  <c r="X54" i="39" s="1"/>
  <c r="U55" i="39"/>
  <c r="L105" i="44"/>
  <c r="K106" i="44"/>
  <c r="K108" i="44" s="1"/>
  <c r="K56" i="44"/>
  <c r="L56" i="44" s="1"/>
  <c r="M56" i="44" s="1"/>
  <c r="N56" i="44" s="1"/>
  <c r="J59" i="44"/>
  <c r="J83" i="39"/>
  <c r="J90" i="44"/>
  <c r="J83" i="44"/>
  <c r="J109" i="44"/>
  <c r="K58" i="44"/>
  <c r="J91" i="44"/>
  <c r="J92" i="44" s="1"/>
  <c r="J59" i="39"/>
  <c r="K56" i="39"/>
  <c r="L56" i="39" s="1"/>
  <c r="M56" i="39" s="1"/>
  <c r="N56" i="39" s="1"/>
  <c r="V62" i="39"/>
  <c r="U63" i="39"/>
  <c r="J93" i="44" l="1"/>
  <c r="U64" i="39"/>
  <c r="V63" i="39"/>
  <c r="V55" i="39"/>
  <c r="U56" i="39"/>
  <c r="V56" i="39" s="1"/>
  <c r="J92" i="39"/>
  <c r="L58" i="44"/>
  <c r="M105" i="44"/>
  <c r="L106" i="44"/>
  <c r="L108" i="44" s="1"/>
  <c r="L58" i="39"/>
  <c r="K109" i="44"/>
  <c r="J71" i="39"/>
  <c r="P47" i="39"/>
  <c r="K59" i="39"/>
  <c r="K59" i="44"/>
  <c r="J71" i="44"/>
  <c r="P47" i="44"/>
  <c r="M58" i="39" l="1"/>
  <c r="M106" i="44"/>
  <c r="M108" i="44" s="1"/>
  <c r="N105" i="44"/>
  <c r="L59" i="39"/>
  <c r="K71" i="39"/>
  <c r="L109" i="44"/>
  <c r="V64" i="39"/>
  <c r="U65" i="39"/>
  <c r="J73" i="44"/>
  <c r="J74" i="44" s="1"/>
  <c r="K71" i="44"/>
  <c r="L59" i="44"/>
  <c r="J78" i="39"/>
  <c r="J73" i="39"/>
  <c r="J74" i="39" s="1"/>
  <c r="M58" i="44"/>
  <c r="N106" i="44" l="1"/>
  <c r="N108" i="44" s="1"/>
  <c r="N109" i="44" s="1"/>
  <c r="Q105" i="44"/>
  <c r="K76" i="44"/>
  <c r="J95" i="44"/>
  <c r="K96" i="44" s="1"/>
  <c r="K97" i="44" s="1"/>
  <c r="K73" i="39"/>
  <c r="K74" i="39" s="1"/>
  <c r="K78" i="39"/>
  <c r="N58" i="44"/>
  <c r="M59" i="44"/>
  <c r="L71" i="44"/>
  <c r="M59" i="39"/>
  <c r="L71" i="39"/>
  <c r="N58" i="39"/>
  <c r="K73" i="44"/>
  <c r="K74" i="44" s="1"/>
  <c r="J79" i="39"/>
  <c r="J80" i="39"/>
  <c r="F49" i="39"/>
  <c r="U66" i="39"/>
  <c r="V66" i="39" s="1"/>
  <c r="V65" i="39"/>
  <c r="W62" i="39"/>
  <c r="W55" i="39"/>
  <c r="X55" i="39" s="1"/>
  <c r="K99" i="39"/>
  <c r="K76" i="39"/>
  <c r="J95" i="39"/>
  <c r="K96" i="39" s="1"/>
  <c r="K97" i="39" s="1"/>
  <c r="J78" i="44"/>
  <c r="M109" i="44"/>
  <c r="K78" i="44" l="1"/>
  <c r="K79" i="44" s="1"/>
  <c r="F49" i="44"/>
  <c r="J79" i="44"/>
  <c r="J80" i="44"/>
  <c r="J111" i="44"/>
  <c r="J112" i="44" s="1"/>
  <c r="J114" i="44"/>
  <c r="J115" i="44" s="1"/>
  <c r="K82" i="39"/>
  <c r="K91" i="39"/>
  <c r="K86" i="39"/>
  <c r="K87" i="39" s="1"/>
  <c r="K88" i="39" s="1"/>
  <c r="X62" i="39"/>
  <c r="Y62" i="39" s="1"/>
  <c r="W63" i="39"/>
  <c r="K80" i="44"/>
  <c r="L73" i="39"/>
  <c r="L74" i="39" s="1"/>
  <c r="K80" i="39"/>
  <c r="K100" i="39"/>
  <c r="K79" i="39"/>
  <c r="J99" i="44"/>
  <c r="J100" i="44" s="1"/>
  <c r="L76" i="44"/>
  <c r="K95" i="44"/>
  <c r="L96" i="44" s="1"/>
  <c r="L97" i="44" s="1"/>
  <c r="M71" i="39"/>
  <c r="N59" i="39"/>
  <c r="N71" i="39" s="1"/>
  <c r="W56" i="39"/>
  <c r="X56" i="39" s="1"/>
  <c r="L99" i="39"/>
  <c r="L76" i="39"/>
  <c r="K95" i="39"/>
  <c r="L96" i="39" s="1"/>
  <c r="L97" i="39" s="1"/>
  <c r="K86" i="44"/>
  <c r="K87" i="44" s="1"/>
  <c r="K88" i="44" s="1"/>
  <c r="K82" i="44"/>
  <c r="K91" i="44"/>
  <c r="L73" i="44"/>
  <c r="L74" i="44" s="1"/>
  <c r="J99" i="39"/>
  <c r="J100" i="39" s="1"/>
  <c r="M71" i="44"/>
  <c r="N59" i="44"/>
  <c r="N71" i="44" s="1"/>
  <c r="K99" i="44"/>
  <c r="K114" i="44" l="1"/>
  <c r="K115" i="44" s="1"/>
  <c r="K100" i="44"/>
  <c r="K111" i="44"/>
  <c r="K112" i="44" s="1"/>
  <c r="J101" i="39"/>
  <c r="J102" i="39"/>
  <c r="K83" i="44"/>
  <c r="K92" i="44" s="1"/>
  <c r="K90" i="44"/>
  <c r="K93" i="44" s="1"/>
  <c r="M73" i="44"/>
  <c r="M74" i="44" s="1"/>
  <c r="M78" i="44"/>
  <c r="L78" i="44"/>
  <c r="X63" i="39"/>
  <c r="Y63" i="39" s="1"/>
  <c r="W64" i="39"/>
  <c r="K90" i="39"/>
  <c r="K93" i="39" s="1"/>
  <c r="K83" i="39"/>
  <c r="K92" i="39" s="1"/>
  <c r="M76" i="44"/>
  <c r="L95" i="44"/>
  <c r="M96" i="44" s="1"/>
  <c r="M97" i="44" s="1"/>
  <c r="N78" i="39"/>
  <c r="N73" i="39"/>
  <c r="L99" i="44"/>
  <c r="M76" i="39"/>
  <c r="L95" i="39"/>
  <c r="M96" i="39" s="1"/>
  <c r="M97" i="39" s="1"/>
  <c r="N73" i="44"/>
  <c r="L82" i="39"/>
  <c r="L86" i="39"/>
  <c r="L87" i="39" s="1"/>
  <c r="L88" i="39" s="1"/>
  <c r="L91" i="39"/>
  <c r="M73" i="39"/>
  <c r="M74" i="39" s="1"/>
  <c r="M78" i="39"/>
  <c r="L86" i="44"/>
  <c r="L87" i="44" s="1"/>
  <c r="L88" i="44" s="1"/>
  <c r="L91" i="44"/>
  <c r="L82" i="44"/>
  <c r="K102" i="39"/>
  <c r="K101" i="39"/>
  <c r="L78" i="39"/>
  <c r="N74" i="44" l="1"/>
  <c r="N95" i="44" s="1"/>
  <c r="L83" i="44"/>
  <c r="L92" i="44" s="1"/>
  <c r="L90" i="44"/>
  <c r="L93" i="44" s="1"/>
  <c r="N76" i="39"/>
  <c r="M95" i="39"/>
  <c r="N96" i="39" s="1"/>
  <c r="N97" i="39" s="1"/>
  <c r="M86" i="39"/>
  <c r="M87" i="39" s="1"/>
  <c r="M88" i="39" s="1"/>
  <c r="M82" i="39"/>
  <c r="M91" i="39"/>
  <c r="M91" i="44"/>
  <c r="M86" i="44"/>
  <c r="M87" i="44" s="1"/>
  <c r="M88" i="44" s="1"/>
  <c r="M82" i="44"/>
  <c r="L100" i="44"/>
  <c r="L79" i="44"/>
  <c r="L80" i="44"/>
  <c r="L111" i="44"/>
  <c r="L112" i="44" s="1"/>
  <c r="L114" i="44"/>
  <c r="L115" i="44" s="1"/>
  <c r="N76" i="44"/>
  <c r="M95" i="44"/>
  <c r="N96" i="44" s="1"/>
  <c r="N97" i="44" s="1"/>
  <c r="N80" i="39"/>
  <c r="N79" i="39"/>
  <c r="L80" i="39"/>
  <c r="L100" i="39"/>
  <c r="L79" i="39"/>
  <c r="M80" i="39"/>
  <c r="M79" i="39"/>
  <c r="L90" i="39"/>
  <c r="L93" i="39" s="1"/>
  <c r="L83" i="39"/>
  <c r="N78" i="44"/>
  <c r="M79" i="44"/>
  <c r="M80" i="44"/>
  <c r="M114" i="44"/>
  <c r="M115" i="44" s="1"/>
  <c r="M111" i="44"/>
  <c r="M112" i="44" s="1"/>
  <c r="L92" i="39"/>
  <c r="M99" i="39"/>
  <c r="M100" i="39" s="1"/>
  <c r="N74" i="39"/>
  <c r="N95" i="39" s="1"/>
  <c r="M99" i="44"/>
  <c r="M100" i="44" s="1"/>
  <c r="X64" i="39"/>
  <c r="Y64" i="39" s="1"/>
  <c r="W65" i="39"/>
  <c r="N99" i="44" l="1"/>
  <c r="N100" i="44" s="1"/>
  <c r="M102" i="39"/>
  <c r="M101" i="39"/>
  <c r="L101" i="39"/>
  <c r="L102" i="39"/>
  <c r="N91" i="39"/>
  <c r="N86" i="39"/>
  <c r="N87" i="39" s="1"/>
  <c r="N88" i="39" s="1"/>
  <c r="N82" i="39"/>
  <c r="X65" i="39"/>
  <c r="Y65" i="39" s="1"/>
  <c r="W66" i="39"/>
  <c r="X66" i="39" s="1"/>
  <c r="Y66" i="39" s="1"/>
  <c r="N79" i="44"/>
  <c r="N80" i="44"/>
  <c r="N114" i="44"/>
  <c r="N115" i="44" s="1"/>
  <c r="N111" i="44"/>
  <c r="N112" i="44" s="1"/>
  <c r="M90" i="44"/>
  <c r="M93" i="44" s="1"/>
  <c r="M83" i="44"/>
  <c r="M92" i="44" s="1"/>
  <c r="M83" i="39"/>
  <c r="M90" i="39"/>
  <c r="M93" i="39" s="1"/>
  <c r="N99" i="39"/>
  <c r="N100" i="39" s="1"/>
  <c r="M92" i="39"/>
  <c r="N91" i="44"/>
  <c r="N82" i="44"/>
  <c r="N86" i="44"/>
  <c r="N87" i="44" s="1"/>
  <c r="N88" i="44" s="1"/>
  <c r="N83" i="44" l="1"/>
  <c r="N92" i="44" s="1"/>
  <c r="N90" i="44"/>
  <c r="N93" i="44" s="1"/>
  <c r="N90" i="39"/>
  <c r="N93" i="39" s="1"/>
  <c r="N83" i="39"/>
  <c r="N92" i="39"/>
  <c r="N101" i="39"/>
  <c r="N102" i="39"/>
  <c r="P102" i="39" s="1"/>
</calcChain>
</file>

<file path=xl/sharedStrings.xml><?xml version="1.0" encoding="utf-8"?>
<sst xmlns="http://schemas.openxmlformats.org/spreadsheetml/2006/main" count="423" uniqueCount="300">
  <si>
    <t>UNUSED</t>
  </si>
  <si>
    <t>Method + #Operators(Legacy)</t>
  </si>
  <si>
    <t>Mutation Rate (Legacy)</t>
  </si>
  <si>
    <t>Crossover Rate (Legacy)</t>
  </si>
  <si>
    <t>Description</t>
  </si>
  <si>
    <t># Time Blocks/All Groups Must Be Present</t>
  </si>
  <si>
    <t>Constraint Range</t>
  </si>
  <si>
    <t>#Ranges</t>
  </si>
  <si>
    <t>Adj. Range</t>
  </si>
  <si>
    <t>Min Val or Range</t>
  </si>
  <si>
    <t>Max Val Or Range</t>
  </si>
  <si>
    <t>Flags</t>
  </si>
  <si>
    <t>Type (Hard/Soft)</t>
  </si>
  <si>
    <t>Entry Mode</t>
  </si>
  <si>
    <t>Formula</t>
  </si>
  <si>
    <t>Left Val Or Range</t>
  </si>
  <si>
    <t>Left Operator</t>
  </si>
  <si>
    <t>Constrained Cells</t>
  </si>
  <si>
    <t>Right Operator</t>
  </si>
  <si>
    <t>Right Val Or Range</t>
  </si>
  <si>
    <t>Penalty Function</t>
  </si>
  <si>
    <t>RO Eval Time (Iter/Sim)</t>
  </si>
  <si>
    <t>RO Statistic to Constrain</t>
  </si>
  <si>
    <t>RO Statistic Parameter</t>
  </si>
  <si>
    <t>Precision (added 6.0)</t>
  </si>
  <si>
    <t>RO Auto Eval Time (added 6.0)</t>
  </si>
  <si>
    <t>Is Disabled</t>
  </si>
  <si>
    <t>Use for EF</t>
  </si>
  <si>
    <t>EF Settings Have Been Defined</t>
  </si>
  <si>
    <t>EF Location of Constraining Values</t>
  </si>
  <si>
    <t>EF Min Constraining Value</t>
  </si>
  <si>
    <t>EF Max Constraining Value</t>
  </si>
  <si>
    <t>EF # of Constraining Values Between Min and Max</t>
  </si>
  <si>
    <t>EF Range with Constraining Values</t>
  </si>
  <si>
    <t>EF # of Constraining Values Listed</t>
  </si>
  <si>
    <t>Formula Conversion Cell (not used in v5)</t>
  </si>
  <si>
    <t>Number Formatting Cell (introduced in v5)</t>
  </si>
  <si>
    <t>Out Stats</t>
  </si>
  <si>
    <t>Mean</t>
  </si>
  <si>
    <t>Std. Dev.</t>
  </si>
  <si>
    <t>Min</t>
  </si>
  <si>
    <t>Max</t>
  </si>
  <si>
    <t>RISKOpt Tag</t>
  </si>
  <si>
    <t># Chromosomes</t>
  </si>
  <si>
    <t># Constraints</t>
  </si>
  <si>
    <t>Compatibility with Old Versions (4 trips pre-v5 versions)</t>
  </si>
  <si>
    <t>Creation Version</t>
  </si>
  <si>
    <t>Required Version</t>
  </si>
  <si>
    <t>Recommended Version</t>
  </si>
  <si>
    <t>Last Modified by Version</t>
  </si>
  <si>
    <t>Genetic Algorithm - Discrete Variable Warning Shown</t>
  </si>
  <si>
    <t>ColorOptimizationCells Called</t>
  </si>
  <si>
    <t>Constraint Solver, number of Latin Hypercube stratifications, for reproducing results with Actual Convergence</t>
  </si>
  <si>
    <t>Constraint Solver, total of adjustable cell values, to only pass number of stratifications if model hasn't changed</t>
  </si>
  <si>
    <t>Goal (Cell, Statistic, Parameter), E1: RO Formula to Optimize</t>
  </si>
  <si>
    <t>Goal (Type, Target Value)</t>
  </si>
  <si>
    <t>VERSION 6.0 SETTINGS</t>
  </si>
  <si>
    <t>Optimization Engine</t>
  </si>
  <si>
    <t>Mutation Rate (becoming a single settings for all adjustable cell groups)</t>
  </si>
  <si>
    <t>Crossover Rate (becoming a single settings for all adjustable cell groups)</t>
  </si>
  <si>
    <t>Genetic Operators (becoming a single settings for all adjustable cell groups)</t>
  </si>
  <si>
    <t>Stopping on Projected Convergence (added in version 6; other simulation runtime settings got moved to @RISK)</t>
  </si>
  <si>
    <t>Population Size</t>
  </si>
  <si>
    <t>Seed (Is Auto, Value)</t>
  </si>
  <si>
    <t>Same Seed Each Simulation (this was used in RISKOptimizer version 5 and earlier)</t>
  </si>
  <si>
    <t>Sampling Type (this was used in RISKOptimizer version 5 and earlier)</t>
  </si>
  <si>
    <t>Stop on Errors (before v5: Pause on Errors)</t>
  </si>
  <si>
    <t>Trial Count Stopping (enabled, trial count)</t>
  </si>
  <si>
    <t>Formula Stopping (enabled, formula)</t>
  </si>
  <si>
    <t>Timespan Stopping (enabled, trial count)</t>
  </si>
  <si>
    <t>Progress Stopping (enabled, trial count, max % change, change is percent)</t>
  </si>
  <si>
    <t>Version 8 Settings</t>
  </si>
  <si>
    <t>Optimization Multi-CPU Mode</t>
  </si>
  <si>
    <t>CPU Count</t>
  </si>
  <si>
    <t>EF Stopping Conditions</t>
  </si>
  <si>
    <t>EF Stop on Trials</t>
  </si>
  <si>
    <t>EF Trial Count</t>
  </si>
  <si>
    <t>EF Stop on Time</t>
  </si>
  <si>
    <t>EF Time Duration</t>
  </si>
  <si>
    <t>EF Time Unit</t>
  </si>
  <si>
    <t>EF Stop on Progress</t>
  </si>
  <si>
    <t>EF Trials (Progress)</t>
  </si>
  <si>
    <t>EF Max. Change (Progress)</t>
  </si>
  <si>
    <t>EF Max. Change is Percent (Progress)</t>
  </si>
  <si>
    <t>Sim. Stopping Mode, Tolerance (legacy settings used in v5 and earlier)</t>
  </si>
  <si>
    <t>#Iterations - Sim Stopping (legacy setting used in v5 and earlier))</t>
  </si>
  <si>
    <t>Keep Trial-by-Trial Log (if cell has anything other than False consider True, since Evolver 4 didn't have this setting); this setting no longer used staring with version 6</t>
  </si>
  <si>
    <t>Minimize Excel on Startup</t>
  </si>
  <si>
    <t>Show Excel Recalcs (replaces "Update Display" used before v5)</t>
  </si>
  <si>
    <t>Ev4/RO1: Graph Progress</t>
  </si>
  <si>
    <t>Ev4/RO1: Update Display (replaced by Show Excel Recalcs in v5)</t>
  </si>
  <si>
    <t>MACROS</t>
  </si>
  <si>
    <t>Start (enabled, macro)</t>
  </si>
  <si>
    <t>Before Recalc (enabled, macro), starting with v6 RISKOptimizer uses corresponding @RISK macro</t>
  </si>
  <si>
    <t>After Recalc (enabled, macro), starting with v6 RISKOptimizer uses corresponding @RISK macro</t>
  </si>
  <si>
    <t>After Storage (enabled, macro)</t>
  </si>
  <si>
    <t>Finish (enabled, macro)</t>
  </si>
  <si>
    <t>Macro Before Simulation (enabled, macro), starting with v6, this is legacy setting</t>
  </si>
  <si>
    <t>Macro After Simulation (enabled, macro), starting with v6, this is legacy setting</t>
  </si>
  <si>
    <t>EFFICIENT FRONTIER</t>
  </si>
  <si>
    <t>Analysis Type (Standard vs. Efficient Frontier)</t>
  </si>
  <si>
    <t>EF Item to Constrain</t>
  </si>
  <si>
    <t>EF Constraint Minimum</t>
  </si>
  <si>
    <t>EF Constraint Maximum</t>
  </si>
  <si>
    <t>EF Formula for Dtools</t>
  </si>
  <si>
    <t>1,1,1,1,1,1,1,1,1,1,1</t>
  </si>
  <si>
    <t>8.0.0</t>
  </si>
  <si>
    <t>1.0.0</t>
  </si>
  <si>
    <t>DEFAULT PARENT SELECTION</t>
  </si>
  <si>
    <t>DEFAULT MUTATION</t>
  </si>
  <si>
    <t>DEFAULT CROSSOVER</t>
  </si>
  <si>
    <t>DEFAULT BACKTRACK</t>
  </si>
  <si>
    <t>ARITHMETIC CROSSOVER</t>
  </si>
  <si>
    <t>HEURISTIC CROSSOVER</t>
  </si>
  <si>
    <t>CAUCHY MUTATION</t>
  </si>
  <si>
    <t>BOUNDARY MUTATION</t>
  </si>
  <si>
    <t>NON-UNIFORM MUTATION</t>
  </si>
  <si>
    <t>LINEAR</t>
  </si>
  <si>
    <t>LOCAL SEARCH</t>
  </si>
  <si>
    <t>RECIPE_x0001_11</t>
  </si>
  <si>
    <t/>
  </si>
  <si>
    <t>False,False,False</t>
  </si>
  <si>
    <t>Written By Version</t>
  </si>
  <si>
    <t>Serialization Major Version</t>
  </si>
  <si>
    <t>Serialization Minor Version</t>
  </si>
  <si>
    <t>Distribution Record</t>
  </si>
  <si>
    <t>Reserved</t>
  </si>
  <si>
    <t>Record Count</t>
  </si>
  <si>
    <t>Inputs</t>
  </si>
  <si>
    <t>alpha</t>
  </si>
  <si>
    <t>beta</t>
  </si>
  <si>
    <t>K1</t>
  </si>
  <si>
    <t>K2</t>
  </si>
  <si>
    <t>S2</t>
  </si>
  <si>
    <t>delta</t>
  </si>
  <si>
    <t>No.</t>
  </si>
  <si>
    <t>Principal (100-1000)</t>
  </si>
  <si>
    <t>Base-rate</t>
  </si>
  <si>
    <t>Total cost %</t>
  </si>
  <si>
    <t>Monthly installment</t>
  </si>
  <si>
    <t>Markup p.m.</t>
  </si>
  <si>
    <t>Base-markup p.m.</t>
  </si>
  <si>
    <t>Market Premium markup p.m.</t>
  </si>
  <si>
    <t>Market Premium/Installment</t>
  </si>
  <si>
    <t>Check</t>
  </si>
  <si>
    <t>Dividends</t>
  </si>
  <si>
    <t>Maturity in years</t>
  </si>
  <si>
    <t>Optimal Premium</t>
  </si>
  <si>
    <t>Base Markup</t>
  </si>
  <si>
    <t>Optimal Premium Markup</t>
  </si>
  <si>
    <t>Optimal K2</t>
  </si>
  <si>
    <t>Market Premium (0%-10%)</t>
  </si>
  <si>
    <t>Standard Premium</t>
  </si>
  <si>
    <t>Total debt (years)</t>
  </si>
  <si>
    <t>Year</t>
  </si>
  <si>
    <t>Augmented alpha</t>
  </si>
  <si>
    <t>Variables</t>
  </si>
  <si>
    <t>Annual Revenues</t>
  </si>
  <si>
    <t>Annual Reserves</t>
  </si>
  <si>
    <t>Scenarios</t>
  </si>
  <si>
    <t>Capacity</t>
  </si>
  <si>
    <t>Average Instalmnt</t>
  </si>
  <si>
    <t>Actual Expense</t>
  </si>
  <si>
    <t>Coverage Raio</t>
  </si>
  <si>
    <t>Implied alpha</t>
  </si>
  <si>
    <t>Average instalment</t>
  </si>
  <si>
    <t>Implied Aug K1</t>
  </si>
  <si>
    <t>K1 * 12</t>
  </si>
  <si>
    <t>K2 * 12</t>
  </si>
  <si>
    <t>Augmented K1--check</t>
  </si>
  <si>
    <t>Augmented alpha--check</t>
  </si>
  <si>
    <t>S1</t>
  </si>
  <si>
    <t>Cum  Reserves</t>
  </si>
  <si>
    <t>Dividends rate</t>
  </si>
  <si>
    <t>Implied max no. of members</t>
  </si>
  <si>
    <t>Constants</t>
  </si>
  <si>
    <t>alpha_prime</t>
  </si>
  <si>
    <t>delta K1 = alpha alpha_prime K2</t>
  </si>
  <si>
    <t>alpha = (delta K1( / (alpha_prime K2)</t>
  </si>
  <si>
    <t>Augmented alpha = (delta K1 + Reserves) / (alpha_prime K2)</t>
  </si>
  <si>
    <t>Annual Exposure</t>
  </si>
  <si>
    <t>Compensation Capacity</t>
  </si>
  <si>
    <t>Dividends rate on total</t>
  </si>
  <si>
    <t>solvency</t>
  </si>
  <si>
    <t>alpha * alpha_prime * K2</t>
  </si>
  <si>
    <t>delta * K1</t>
  </si>
  <si>
    <t>Dividends per member</t>
  </si>
  <si>
    <t>Capped reserves</t>
  </si>
  <si>
    <t>Capped alpha</t>
  </si>
  <si>
    <t>delta K1 + Capped reserves</t>
  </si>
  <si>
    <t>Excess reserves</t>
  </si>
  <si>
    <t>Excess dividends</t>
  </si>
  <si>
    <t>Dividends rate, %</t>
  </si>
  <si>
    <t>(delta K1 + Cum Reserves)</t>
  </si>
  <si>
    <t>No. of Members</t>
  </si>
  <si>
    <t xml:space="preserve"> No. of Instalments</t>
  </si>
  <si>
    <t>Total Debt</t>
  </si>
  <si>
    <t>Year 2</t>
  </si>
  <si>
    <t>%</t>
  </si>
  <si>
    <t>Share of members' dividends</t>
  </si>
  <si>
    <t>Members' Dividends</t>
  </si>
  <si>
    <t>M Dividnends, %</t>
  </si>
  <si>
    <t>Capital Dividends</t>
  </si>
  <si>
    <t>C Dividends, %</t>
  </si>
  <si>
    <t>Capital + Annual Revenue</t>
  </si>
  <si>
    <t>Share of capital dividends</t>
  </si>
  <si>
    <t>8.2.2</t>
  </si>
  <si>
    <t>1_x0001_37_x0001_0_x0001_RiskUniform(100,1000,RiskStatic(290))</t>
  </si>
  <si>
    <t>GF1_rK0qDwEAEwDLAAwjACcAPABaAG4AbwB9AIsApQDHAMEAKwD//wAAAAAAAAEEAAAAAAdHZW5lcmFsAAAAARg4IC8gUHJpbmNpcGFsICgxMDAtMTAwMCkBAAEBEAACAAEKU3RhdGlzdGljcwMBAQD/AQEBAQEAAQEBAAQAAAABAQEBAQABAQEABAAAAAGPAAAUAAdVbmlmb3JtAAAA/wAA/wEAAAIArQC3AAEBAwGamZmZmZmpPwAAZmZmZmZm7j8AAAUAAQEBAAEBAQA=</t>
  </si>
  <si>
    <t>1_x0001_37_x0001_0_x0001_RiskUniform(100,1000,RiskStatic(806))</t>
  </si>
  <si>
    <t>GF1_rK0qDwEAEwDLAAwjACcAPABaAG4AbwB9AIsApQDHAMEAKwD//wAAAAAAAAEEAAAAAAdHZW5lcmFsAAAAARg5IC8gUHJpbmNpcGFsICgxMDAtMTAwMCkBAAEBEAACAAEKU3RhdGlzdGljcwMBAQD/AQEBAQEAAQEBAAQAAAABAQEBAQABAQEABAAAAAGPAAAUAAdVbmlmb3JtAAAA/wAA/wEAAAIArQC3AAEBAwGamZmZmZmpPwAAZmZmZmZm7j8AAAUAAQEBAAEBAQA=</t>
  </si>
  <si>
    <t>1_x0001_37_x0001_0_x0001_RiskUniform(100,1000,RiskStatic(556))</t>
  </si>
  <si>
    <t>GF1_rK0qDwEAEwDMAAwjACcAPABbAG8AcAB+AIwApgDIAMIAKwD//wAAAAAAAAEEAAAAAAdHZW5lcmFsAAAAARkxMCAvIFByaW5jaXBhbCAoMTAwLTEwMDApAQABARAAAgABClN0YXRpc3RpY3MDAQEA/wEBAQEBAAEBAQAEAAAAAQEBAQEAAQEBAAQAAAABkAAAFAAHVW5pZm9ybQAAAP8AAP8BAAACAK4AuAABAQMBmpmZmZmZqT8AAGZmZmZmZu4/AAAFAAEBAQABAQEA</t>
  </si>
  <si>
    <t>1_x0001_37_x0001_0_x0001_RiskUniform(100,1000,RiskStatic(629))</t>
  </si>
  <si>
    <t>GF1_rK0qDwEAEwDMAAwjACcAPABbAG8AcAB+AIwApgDIAMIAKwD//wAAAAAAAAEEAAAAAAdHZW5lcmFsAAAAARkxMSAvIFByaW5jaXBhbCAoMTAwLTEwMDApAQABARAAAgABClN0YXRpc3RpY3MDAQEA/wEBAQEBAAEBAQAEAAAAAQEBAQEAAQEBAAQAAAABkAAAFAAHVW5pZm9ybQAAAP8AAP8BAAACAK4AuAABAQMBmpmZmZmZqT8AAGZmZmZmZu4/AAAFAAEBAQABAQEA</t>
  </si>
  <si>
    <t>1_x0001_37_x0001_0_x0001_RiskUniform(100,1000,RiskStatic(986))</t>
  </si>
  <si>
    <t>GF1_rK0qDwEAEwDMAAwjACcAPABbAG8AcAB+AIwApgDIAMIAKwD//wAAAAAAAAEEAAAAAAdHZW5lcmFsAAAAARkxMiAvIFByaW5jaXBhbCAoMTAwLTEwMDApAQABARAAAgABClN0YXRpc3RpY3MDAQEA/wEBAQEBAAEBAQAEAAAAAQEBAQEAAQEBAAQAAAABkAAAFAAHVW5pZm9ybQAAAP8AAP8BAAACAK4AuAABAQMBmpmZmZmZqT8AAGZmZmZmZu4/AAAFAAEBAQABAQEA</t>
  </si>
  <si>
    <t>1_x0001_37_x0001_0_x0001_RiskUniform(100,1000,RiskStatic(831))</t>
  </si>
  <si>
    <t>GF1_rK0qDwEAEwDMAAwjACcAPABbAG8AcAB+AIwApgDIAMIAKwD//wAAAAAAAAEEAAAAAAdHZW5lcmFsAAAAARkxMyAvIFByaW5jaXBhbCAoMTAwLTEwMDApAQABARAAAgABClN0YXRpc3RpY3MDAQEA/wEBAQEBAAEBAQAEAAAAAQEBAQEAAQEBAAQAAAABkAAAFAAHVW5pZm9ybQAAAP8AAP8BAAACAK4AuAABAQMBmpmZmZmZqT8AAGZmZmZmZu4/AAAFAAEBAQABAQEA</t>
  </si>
  <si>
    <t>1_x0001_37_x0001_0_x0001_RiskUniform(100,1000,RiskStatic(571))</t>
  </si>
  <si>
    <t>GF1_rK0qDwEAEwDMAAwjACcAPABbAG8AcAB+AIwApgDIAMIAKwD//wAAAAAAAAEEAAAAAAdHZW5lcmFsAAAAARkxNCAvIFByaW5jaXBhbCAoMTAwLTEwMDApAQABARAAAgABClN0YXRpc3RpY3MDAQEA/wEBAQEBAAEBAQAEAAAAAQEBAQEAAQEBAAQAAAABkAAAFAAHVW5pZm9ybQAAAP8AAP8BAAACAK4AuAABAQMBmpmZmZmZqT8AAGZmZmZmZu4/AAAFAAEBAQABAQEA</t>
  </si>
  <si>
    <t>1_x0001_37_x0001_0_x0001_RiskUniform(100,1000,RiskStatic(605))</t>
  </si>
  <si>
    <t>GF1_rK0qDwEAEwDMAAwjACcAPABbAG8AcAB+AIwApgDIAMIAKwD//wAAAAAAAAEEAAAAAAdHZW5lcmFsAAAAARkxNSAvIFByaW5jaXBhbCAoMTAwLTEwMDApAQABARAAAgABClN0YXRpc3RpY3MDAQEA/wEBAQEBAAEBAQAEAAAAAQEBAQEAAQEBAAQAAAABkAAAFAAHVW5pZm9ybQAAAP8AAP8BAAACAK4AuAABAQMBmpmZmZmZqT8AAGZmZmZmZu4/AAAFAAEBAQABAQEA</t>
  </si>
  <si>
    <t>1_x0001_37_x0001_0_x0001_RiskUniform(100,1000,RiskStatic(857))</t>
  </si>
  <si>
    <t>GF1_rK0qDwEAEwDMAAwjACcAPABbAG8AcAB+AIwApgDIAMIAKwD//wAAAAAAAAEEAAAAAAdHZW5lcmFsAAAAARkxNiAvIFByaW5jaXBhbCAoMTAwLTEwMDApAQABARAAAgABClN0YXRpc3RpY3MDAQEA/wEBAQEBAAEBAQAEAAAAAQEBAQEAAQEBAAQAAAABkAAAFAAHVW5pZm9ybQAAAP8AAP8BAAACAK4AuAABAQMBmpmZmZmZqT8AAGZmZmZmZu4/AAAFAAEBAQABAQEA</t>
  </si>
  <si>
    <t>1_x0001_37_x0001_0_x0001_RiskUniform(100,1000,RiskStatic(363))</t>
  </si>
  <si>
    <t>GF1_rK0qDwEAEwDMAAwjACcAPABbAG8AcAB+AIwApgDIAMIAKwD//wAAAAAAAAEEAAAAAAdHZW5lcmFsAAAAARkxNyAvIFByaW5jaXBhbCAoMTAwLTEwMDApAQABARAAAgABClN0YXRpc3RpY3MDAQEA/wEBAQEBAAEBAQAEAAAAAQEBAQEAAQEBAAQAAAABkAAAFAAHVW5pZm9ybQAAAP8AAP8BAAACAK4AuAABAQMBmpmZmZmZqT8AAGZmZmZmZu4/AAAFAAEBAQABAQEA</t>
  </si>
  <si>
    <t>1_x0001_37_x0001_0_x0001_RiskUniform(100,1000,RiskStatic(601))</t>
  </si>
  <si>
    <t>GF1_rK0qDwEAEwDMAAwjACcAPABbAG8AcAB+AIwApgDIAMIAKwD//wAAAAAAAAEEAAAAAAdHZW5lcmFsAAAAARkxOCAvIFByaW5jaXBhbCAoMTAwLTEwMDApAQABARAAAgABClN0YXRpc3RpY3MDAQEA/wEBAQEBAAEBAQAEAAAAAQEBAQEAAQEBAAQAAAABkAAAFAAHVW5pZm9ybQAAAP8AAP8BAAACAK4AuAABAQMBmpmZmZmZqT8AAGZmZmZmZu4/AAAFAAEBAQABAQEA</t>
  </si>
  <si>
    <t>1_x0001_37_x0001_0_x0001_RiskUniform(100,1000,RiskStatic(522))</t>
  </si>
  <si>
    <t>GF1_rK0qDwEAEwDMAAwjACcAPABbAG8AcAB+AIwApgDIAMIAKwD//wAAAAAAAAEEAAAAAAdHZW5lcmFsAAAAARkxOSAvIFByaW5jaXBhbCAoMTAwLTEwMDApAQABARAAAgABClN0YXRpc3RpY3MDAQEA/wEBAQEBAAEBAQAEAAAAAQEBAQEAAQEBAAQAAAABkAAAFAAHVW5pZm9ybQAAAP8AAP8BAAACAK4AuAABAQMBmpmZmZmZqT8AAGZmZmZmZu4/AAAFAAEBAQABAQEA</t>
  </si>
  <si>
    <t>1_x0001_37_x0001_0_x0001_RiskUniform(100,1000,RiskStatic(120))</t>
  </si>
  <si>
    <t>GF1_rK0qDwEAEwDMAAwjACcAPABbAG8AcAB+AIwApgDIAMIAKwD//wAAAAAAAAEEAAAAAAdHZW5lcmFsAAAAARkyMCAvIFByaW5jaXBhbCAoMTAwLTEwMDApAQABARAAAgABClN0YXRpc3RpY3MDAQEA/wEBAQEBAAEBAQAEAAAAAQEBAQEAAQEBAAQAAAABkAAAFAAHVW5pZm9ybQAAAP8AAP8BAAACAK4AuAABAQMBmpmZmZmZqT8AAGZmZmZmZu4/AAAFAAEBAQABAQEA</t>
  </si>
  <si>
    <t>1_x0001_37_x0001_0_x0001_RiskUniform(100,1000,RiskStatic(329))</t>
  </si>
  <si>
    <t>GF1_rK0qDwEAEwDMAAwjACcAPABbAG8AcAB+AIwApgDIAMIAKwD//wAAAAAAAAEEAAAAAAdHZW5lcmFsAAAAARkyMSAvIFByaW5jaXBhbCAoMTAwLTEwMDApAQABARAAAgABClN0YXRpc3RpY3MDAQEA/wEBAQEBAAEBAQAEAAAAAQEBAQEAAQEBAAQAAAABkAAAFAAHVW5pZm9ybQAAAP8AAP8BAAACAK4AuAABAQMBmpmZmZmZqT8AAGZmZmZmZu4/AAAFAAEBAQABAQEA</t>
  </si>
  <si>
    <t>1_x0001_37_x0001_0_x0001_RiskUniform(100,1000,RiskStatic(961))</t>
  </si>
  <si>
    <t>GF1_rK0qDwEAEwDMAAwjACcAPABbAG8AcAB+AIwApgDIAMIAKwD//wAAAAAAAAEEAAAAAAdHZW5lcmFsAAAAARkyMiAvIFByaW5jaXBhbCAoMTAwLTEwMDApAQABARAAAgABClN0YXRpc3RpY3MDAQEA/wEBAQEBAAEBAQAEAAAAAQEBAQEAAQEBAAQAAAABkAAAFAAHVW5pZm9ybQAAAP8AAP8BAAACAK4AuAABAQMBmpmZmZmZqT8AAGZmZmZmZu4/AAAFAAEBAQABAQEA</t>
  </si>
  <si>
    <t>1_x0001_37_x0001_0_x0001_RiskUniform(100,1000,RiskStatic(458))</t>
  </si>
  <si>
    <t>GF1_rK0qDwEAEwDMAAwjACcAPABbAG8AcAB+AIwApgDIAMIAKwD//wAAAAAAAAEEAAAAAAdHZW5lcmFsAAAAARkyMyAvIFByaW5jaXBhbCAoMTAwLTEwMDApAQABARAAAgABClN0YXRpc3RpY3MDAQEA/wEBAQEBAAEBAQAEAAAAAQEBAQEAAQEBAAQAAAABkAAAFAAHVW5pZm9ybQAAAP8AAP8BAAACAK4AuAABAQMBmpmZmZmZqT8AAGZmZmZmZu4/AAAFAAEBAQABAQEA</t>
  </si>
  <si>
    <t>1_x0001_37_x0001_0_x0001_RiskUniform(100,1000,RiskStatic(705))</t>
  </si>
  <si>
    <t>GF1_rK0qDwEAEwDMAAwjACcAPABbAG8AcAB+AIwApgDIAMIAKwD//wAAAAAAAAEEAAAAAAdHZW5lcmFsAAAAARkyNCAvIFByaW5jaXBhbCAoMTAwLTEwMDApAQABARAAAgABClN0YXRpc3RpY3MDAQEA/wEBAQEBAAEBAQAEAAAAAQEBAQEAAQEBAAQAAAABkAAAFAAHVW5pZm9ybQAAAP8AAP8BAAACAK4AuAABAQMBmpmZmZmZqT8AAGZmZmZmZu4/AAAFAAEBAQABAQEA</t>
  </si>
  <si>
    <t>1_x0001_37_x0001_0_x0001_RiskUniform(100,1000,RiskStatic(778))</t>
  </si>
  <si>
    <t>GF1_rK0qDwEAEwDMAAwjACcAPABbAG8AcAB+AIwApgDIAMIAKwD//wAAAAAAAAEEAAAAAAdHZW5lcmFsAAAAARkyNSAvIFByaW5jaXBhbCAoMTAwLTEwMDApAQABARAAAgABClN0YXRpc3RpY3MDAQEA/wEBAQEBAAEBAQAEAAAAAQEBAQEAAQEBAAQAAAABkAAAFAAHVW5pZm9ybQAAAP8AAP8BAAACAK4AuAABAQMBmpmZmZmZqT8AAGZmZmZmZu4/AAAFAAEBAQABAQEA</t>
  </si>
  <si>
    <t>1_x0001_37_x0001_0_x0001_RiskUniform(100,1000,RiskStatic(632))</t>
  </si>
  <si>
    <t>GF1_rK0qDwEAEwDMAAwjACcAPABbAG8AcAB+AIwApgDIAMIAKwD//wAAAAAAAAEEAAAAAAdHZW5lcmFsAAAAARkyNiAvIFByaW5jaXBhbCAoMTAwLTEwMDApAQABARAAAgABClN0YXRpc3RpY3MDAQEA/wEBAQEBAAEBAQAEAAAAAQEBAQEAAQEBAAQAAAABkAAAFAAHVW5pZm9ybQAAAP8AAP8BAAACAK4AuAABAQMBmpmZmZmZqT8AAGZmZmZmZu4/AAAFAAEBAQABAQEA</t>
  </si>
  <si>
    <t>GF1_rK0qDwEAEwDMAAwjACcAPABbAG8AcAB+AIwApgDIAMIAKwD//wAAAAAAAAEEAAAAAAdHZW5lcmFsAAAAARkyNyAvIFByaW5jaXBhbCAoMTAwLTEwMDApAQABARAAAgABClN0YXRpc3RpY3MDAQEA/wEBAQEBAAEBAQAEAAAAAQEBAQEAAQEBAAQAAAABkAAAFAAHVW5pZm9ybQAAAP8AAP8BAAACAK4AuAABAQMBmpmZmZmZqT8AAGZmZmZmZu4/AAAFAAEBAQABAQEA</t>
  </si>
  <si>
    <t>1_x0001_37_x0001_0_x0001_RiskUniform(100,1000,RiskStatic(255))</t>
  </si>
  <si>
    <t>GF1_rK0qDwEAEwDMAAwjACcAPABbAG8AcAB+AIwApgDIAMIAKwD//wAAAAAAAAEEAAAAAAdHZW5lcmFsAAAAARkyOCAvIFByaW5jaXBhbCAoMTAwLTEwMDApAQABARAAAgABClN0YXRpc3RpY3MDAQEA/wEBAQEBAAEBAQAEAAAAAQEBAQEAAQEBAAQAAAABkAAAFAAHVW5pZm9ybQAAAP8AAP8BAAACAK4AuAABAQMBmpmZmZmZqT8AAGZmZmZmZu4/AAAFAAEBAQABAQEA</t>
  </si>
  <si>
    <t>1_x0001_36_x0001_0_x0001_RiskUniform(100,100,RiskStatic(897))</t>
  </si>
  <si>
    <t>GF1_rK0qDwEAEwDMAAwjACcAPABbAG8AcAB+AIwApgDIAMIAKwD//wAAAAAAAAEEAAAAAAdHZW5lcmFsAAAAARkyOSAvIFByaW5jaXBhbCAoMTAwLTEwMDApAQABARAAAgABClN0YXRpc3RpY3MDAQEA/wEBAQEBAAEBAQAEAAAAAQEBAQEAAQEBAAQAAAABkAAAFAAHVW5pZm9ybQAAAP8AAP8BAAACAK4AuAABAQMBmpmZmZmZqT8AAGZmZmZmZu4/AAAFAAEBAQABAQEA</t>
  </si>
  <si>
    <t>1_x0001_37_x0001_0_x0001_RiskUniform(100,1000,RiskStatic(955))</t>
  </si>
  <si>
    <t>GF1_rK0qDwEAEwDMAAwjACcAPABbAG8AcAB+AIwApgDIAMIAKwD//wAAAAAAAAEEAAAAAAdHZW5lcmFsAAAAARkzMCAvIFByaW5jaXBhbCAoMTAwLTEwMDApAQABARAAAgABClN0YXRpc3RpY3MDAQEA/wEBAQEBAAEBAQAEAAAAAQEBAQEAAQEBAAQAAAABkAAAFAAHVW5pZm9ybQAAAP8AAP8BAAACAK4AuAABAQMBmpmZmZmZqT8AAGZmZmZmZu4/AAAFAAEBAQABAQEA</t>
  </si>
  <si>
    <t>1_x0001_37_x0001_0_x0001_RiskUniform(100,1000,RiskStatic(877))</t>
  </si>
  <si>
    <t>GF1_rK0qDwEAEwDLAAwjACcAPABaAG4AbwB9AIsApQDHAMEAKwD//wAAAAAAAAEEAAAAAAdHZW5lcmFsAAAAARg0IC8gUHJpbmNpcGFsICgxMDAtMTAwMCkBAAEBEAACAAEKU3RhdGlzdGljcwMBAQD/AQEBAQEAAQEBAAQAAAABAQEBAQABAQEABAAAAAGPAAAUAAdVbmlmb3JtAAAA/wAA/wEAAAIArQC3AAEBAwGamZmZmZmpPwAAZmZmZmZm7j8AAAUAAQEBAAEBAQA=</t>
  </si>
  <si>
    <t>1_x0001_37_x0001_0_x0001_RiskUniform(100,1000,RiskStatic(473))</t>
  </si>
  <si>
    <t>GF1_rK0qDwEAEwDLAAwjACcAPABaAG4AbwB9AIsApQDHAMEAKwD//wAAAAAAAAEEAAAAAAdHZW5lcmFsAAAAARgzIC8gUHJpbmNpcGFsICgxMDAtMTAwMCkBAAEBEAACAAEKU3RhdGlzdGljcwMBAQD/AQEBAQEAAQEBAAQAAAABAQEBAQABAQEABAAAAAGPAAAUAAdVbmlmb3JtAAAA/wAA/wEAAAIArQC3AAEBAwGamZmZmZmpPwAAZmZmZmZm7j8AAAUAAQEBAAEBAQA=</t>
  </si>
  <si>
    <t>1_x0001_37_x0001_0_x0001_RiskUniform(100,1000,RiskStatic(387))</t>
  </si>
  <si>
    <t>GF1_rK0qDwEAEwDLAAwjACcAPABaAG4AbwB9AIsApQDHAMEAKwD//wAAAAAAAAEEAAAAAAdHZW5lcmFsAAAAARgyIC8gUHJpbmNpcGFsICgxMDAtMTAwMCkBAAEBEAACAAEKU3RhdGlzdGljcwMBAQD/AQEBAQEAAQEBAAQAAAABAQEBAQABAQEABAAAAAGPAAAUAAdVbmlmb3JtAAAA/wAA/wEAAAIArQC3AAEBAwGamZmZmZmpPwAAZmZmZmZm7j8AAAUAAQEBAAEBAQA=</t>
  </si>
  <si>
    <t>1_x0001_63_x0001_0_x0001_RiskUniform(100,1000,RiskName("1 \ Principal"),RiskStatic(605))</t>
  </si>
  <si>
    <t>GF1_rK0qDwEAEwDAAAwjACcAPABPAGMAZAByAIAAmgC8ALYAKwD//wAAAAAAAAEEAAAAAAdHZW5lcmFsAAAAAQ0xIFwgUHJpbmNpcGFsAQABARAAAgABClN0YXRpc3RpY3MDAQEA/wEBAQEBAAEBAQAEAAAAAQEBAQEAAQEBAAQAAAABhAAAFAAHVW5pZm9ybQAAAP8AAP8BAAACAKIArAABAQMBmpmZmZmZqT8AAGZmZmZmZu4/AAAFAAEBAQABAQEA</t>
  </si>
  <si>
    <t>1_x0001_35_x0001_0_x0001_RiskUniform(0,0.1,RiskStatic(0.03))</t>
  </si>
  <si>
    <t>GF1_rK0qDwEAEwDJAAwjACcANwBYAGwAbQB7AIkAowDFAL8AKwD//wAAAAAAAAEEAAAAAAIwJQAAAAEbMSAvIE1hcmtldCBQcmVtaXVtICgwJS0xMCUpAQABARAAAgABClN0YXRpc3RpY3MDAQEA/wEBAQEBAAEBAQAEAAAAAQEBAQEAAQEBAAQAAAABjQAAFAAHVW5pZm9ybQAAAP8AAP8BAAACAKsAtQABAQMBmpmZmZmZqT8AAGZmZmZmZu4/AAAFAAEBAQABAQEA</t>
  </si>
  <si>
    <t>Capital (fixed)</t>
  </si>
  <si>
    <t>1_x0001_30_x0001_0_x0001_RiskUniform(4,6,RiskStatic(3))</t>
  </si>
  <si>
    <t>GF1_rK0qDwEAEwDOAAwjACcAPABdAHEAcgCAAI4AqADKAMQAKwD//wAAAAAAAAEEAAAAAAdHZW5lcmFsAAAAARs0LXRvLTYgLyBOby4gb2YgSW5zdGFsbWVudHMBAAEBEAACAAEKU3RhdGlzdGljcwMBAQD/AQEBAQEAAQEBAAQAAAABAQEBAQABAQEABAAAAAGSAAAUAAdVbmlmb3JtAAAA/wAA/wEAAAIAsAC6AAEBAwGamZmZmZmpPwAAZmZmZmZm7j8AAAUAAQEBAAEBAQA=</t>
  </si>
  <si>
    <t>1_x0001_31_x0001_0_x0001_RiskUniform(7,10,RiskStatic(6))</t>
  </si>
  <si>
    <t>GF1_rK0qDwEAEwDPAAwjACcAPABeAHIAcwCBAI8AqQDLAMUAKwD//wAAAAAAAAEEAAAAAAdHZW5lcmFsAAAAARw3LXRvLTEwIC8gTm8uIG9mIEluc3RhbG1lbnRzAQABARAAAgABClN0YXRpc3RpY3MDAQEA/wEBAQEBAAEBAQAEAAAAAQEBAQEAAQEBAAQAAAABkwAAFAAHVW5pZm9ybQAAAP8AAP8BAAACALEAuwABAQMBmpmZmZmZqT8AAGZmZmZmZu4/AAAFAAEBAQABAQEA</t>
  </si>
  <si>
    <t>1_x0001_31_x0001_0_x0001_RiskUniform(7,10,RiskStatic(5))</t>
  </si>
  <si>
    <t>GF1_rK0qDwEAEwDLAAwjACcAPABaAG4AbwB9AIsApQDHAMEAKwD//wAAAAAAAAEEAAAAAAdHZW5lcmFsAAAAARg3LXRvLTEwIC8gTm8uIG9mIE1lbWJlcnMBAAEBEAACAAEKU3RhdGlzdGljcwMBAQD/AQEBAQEAAQEBAAQAAAABAQEBAQABAQEABAAAAAGPAAAUAAdVbmlmb3JtAAAA/wAA/wEAAAIArQC3AAEBAwGamZmZmZmpPwAAZmZmZmZm7j8AAAUAAQEBAAEBAQA=</t>
  </si>
  <si>
    <t>GF1_rK0qDwEAEwDKAAwjACcAPABZAG0AbgB8AIoApADGAMAAKwD//wAAAAAAAAEEAAAAAAdHZW5lcmFsAAAAARc0LXRvLTYgLyBOby4gb2YgTWVtYmVycwEAAQEQAAIAAQpTdGF0aXN0aWNzAwEBAP8BAQEBAQABAQEABAAAAAEBAQEBAAEBAQAEAAAAAY4AABQAB1VuaWZvcm0AAAD/AAD/AQAAAgCsALYAAQEDAZqZmZmZmak/AABmZmZmZmbuPwAABQABAQEAAQEBAA==</t>
  </si>
  <si>
    <t>1_x0001_30_x0001_0_x0001_RiskUniform(1,3,RiskStatic(2))</t>
  </si>
  <si>
    <t>GF1_rK0qDwEAEwDKAAwjACcAPABZAG0AbgB8AIoApADGAMAAKwD//wAAAAAAAAEEAAAAAAdHZW5lcmFsAAAAARdTMiAvIE5vLiBvZiBJbnN0YWxtZW50cwEAAQEQAAIAAQpTdGF0aXN0aWNzAwEBAP8BAQEBAQABAQEABAAAAAEBAQEBAAEBAQAEAAAAAY4AABQAB1VuaWZvcm0AAAD/AAD/AQAAAgCsALYAAQEDAZqZmZmZmak/AABmZmZmZmbuPwAABQABAQEAAQEBAA==</t>
  </si>
  <si>
    <t>1_x0001_30_x0001_0_x0001_RiskUniform(1,3,RiskStatic(1))</t>
  </si>
  <si>
    <t>GF1_rK0qDwEAEwDGAAwjACcAPABVAGkAagB4AIYAoADCALwAKwD//wAAAAAAAAEEAAAAAAdHZW5lcmFsAAAAARNTMiAvIE5vLiBvZiBNZW1iZXJzAQABARAAAgABClN0YXRpc3RpY3MDAQEA/wEBAQEBAAEBAQAEAAAAAQEBAQEAAQEBAAQAAAABigAAFAAHVW5pZm9ybQAAAP8AAP8BAAACAKgAsgABAQMBmpmZmZmZqT8AAGZmZmZmZu4/AAAFAAEBAQABAQEA</t>
  </si>
  <si>
    <t>Browse Record</t>
  </si>
  <si>
    <t>Display Mode</t>
  </si>
  <si>
    <t>Sens Graph Type</t>
  </si>
  <si>
    <t>Cond Sens Settings</t>
  </si>
  <si>
    <t>Scenario Settings</t>
  </si>
  <si>
    <t>Selected Scenario</t>
  </si>
  <si>
    <t>Distribution Options</t>
  </si>
  <si>
    <t>Distribution GS</t>
  </si>
  <si>
    <t>Distribution Curves</t>
  </si>
  <si>
    <t>Sens Tornado Options</t>
  </si>
  <si>
    <t>Sens Tornado GS</t>
  </si>
  <si>
    <t>Sens Tornado Curves</t>
  </si>
  <si>
    <t>Scen Tornado Options</t>
  </si>
  <si>
    <t>Scen Tornado GS</t>
  </si>
  <si>
    <t>Scen Tornado Curves</t>
  </si>
  <si>
    <t>Sens Spider Option</t>
  </si>
  <si>
    <t>Sens Spider GS</t>
  </si>
  <si>
    <t>Sens Spider Curves</t>
  </si>
  <si>
    <t>GF1_rK0qDwEAEwABAQwjACcAZACEAJgAmQCnALUA2wD9APcAKwD//wAAAAAAAAEEAAAAAC9fKCogIywjIzAuMDBfKTtfKCogKCMsIyMwLjAwKTtfKCogIi0iPz9fKTtfKEBfKQAAAAERMS10by0zIC8gQ2FwYWNpdHkACENhcGFjaXR5AAEBEAACAAEKU3RhdGlzdGljcwMBAQD/AQEBAQEAAQEBAAQAAAABAQEBAQABAQEABAAAAAG5AAIeABExLXRvLTMgLyBDYXBhY2l0eQAAAP/cFDwBAAACAAIA4wDtAAEBAwGamZmZmZmpPwAAZmZmZmZm7j8AAAUAAQEBAAEBAQA=</t>
  </si>
  <si>
    <t>GF1_rK0qDwEAEwARAQwjACcAOQB/AJMAlACiALAA6wANAQcBKwD//wAAAAAAAAEEAAAAAAQwLjAwAAAAASZBdmVyYWdlIG1heCA3IC8gUmVzdHJpY3RlZCBFeHBlbnNlIE1heAAZQXZlcmFnZSBtYXggNyBpbnN0YWxtZW50cwABARAAAgABClN0YXRpc3RpY3MDAQEA/wEBAQEBAAEBAQAEAAAAAQEBAQEAAQEBAAQAAAABtAACMwAmQXZlcmFnZSBtYXggNyAvIFJlc3RyaWN0ZWQgRXhwZW5zZSBNYXgAAAD/3BQ8AQAAAgACAPMA/QABAQMBmpmZmZmZqT8AAGZmZmZmZu4/AAAFAAEBAQABAQEA</t>
  </si>
  <si>
    <t>GF1_rK0qDwEAEwARAQwjACcAOQB/AJMAlACiALAA6wANAQcBKwD//wAAAAAAAAEEAAAAAAQwLjAwAAAAASZBdmVyYWdlIE1heCA0IC8gUmVzdHJpY3RlZCBFeHBlbnNlIE1heAAZQXZlcmFnZSBNYXggNCBpbnN0YWxtZW50cwABARAAAgABClN0YXRpc3RpY3MDAQEA/wEBAQEBAAEBAQAEAAAAAQEBAQEAAQEBAAQAAAABtAACMwAmQXZlcmFnZSBNYXggNCAvIFJlc3RyaWN0ZWQgRXhwZW5zZSBNYXgAAAD/3BQ8AQAAAgACAPMA/QABAQMBmpmZmZmZqT8AAGZmZmZmZu4/AAAFAAEBAQABAQEA</t>
  </si>
  <si>
    <t>GF1_rK0qDwEAEwAUAQwjACcAOQB9AJEAkgCgAK4A7gAQAQoBKwD//wAAAAAAAAEEAAAAAAQwLjAwAAAAAStNYXhpbXVtIGluc3RhbG1lbnQgLyBSZXN0cmljdGVkIEV4cGVuc2UgTWF4ABJNYXhpbXVtIGluc3RhbG1lbnQAAQEQAAIAAQpTdGF0aXN0aWNzAwEBAP8BAQEBAQABAQEABAAAAAEBAQEBAAEBAQAEAAAAAbIAAjgAK01heGltdW0gaW5zdGFsbWVudCAvIFJlc3RyaWN0ZWQgRXhwZW5zZSBNYXgAAAD/3BQ8AQAAAgACAPYAAAEBAQMBmpmZmZmZqT8AAGZmZmZmZu4/AAAFAAEBAQABAQEA</t>
  </si>
  <si>
    <t>Capital/Principal</t>
  </si>
  <si>
    <t>Contribution/principal</t>
  </si>
  <si>
    <t>Contribution/Capital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</si>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</sst>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0.0%"/>
    <numFmt numFmtId="166" formatCode="0.0000"/>
    <numFmt numFmtId="167" formatCode="0.000%"/>
    <numFmt numFmtId="168" formatCode="0.0000%"/>
    <numFmt numFmtId="169" formatCode="_(* #,##0.00000_);_(* \(#,##0.00000\);_(* &quot;-&quot;??_);_(@_)"/>
  </numFmts>
  <fonts count="5" x14ac:knownFonts="1">
    <font>
      <sz val="10"/>
      <color indexed="8"/>
      <name val="Helvetica Neue"/>
    </font>
    <font>
      <sz val="10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indexed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/>
      <diagonal/>
    </border>
  </borders>
  <cellStyleXfs count="4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Protection="0">
      <alignment vertical="top" wrapText="1"/>
    </xf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9">
    <xf numFmtId="0" fontId="0" fillId="0" borderId="0" xfId="0">
      <alignment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2" borderId="0" xfId="0" quotePrefix="1" applyFill="1" applyAlignment="1">
      <alignment horizontal="left" vertical="top" wrapText="1"/>
    </xf>
    <xf numFmtId="10" fontId="0" fillId="3" borderId="0" xfId="0" applyNumberFormat="1" applyFill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2" borderId="0" xfId="0" applyNumberFormat="1" applyFill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165" fontId="0" fillId="0" borderId="0" xfId="2" applyNumberFormat="1" applyFont="1" applyAlignment="1">
      <alignment vertical="top" wrapText="1"/>
    </xf>
    <xf numFmtId="164" fontId="0" fillId="0" borderId="0" xfId="0" applyNumberFormat="1">
      <alignment vertical="top" wrapText="1"/>
    </xf>
    <xf numFmtId="2" fontId="0" fillId="0" borderId="0" xfId="0" applyNumberFormat="1">
      <alignment vertical="top" wrapText="1"/>
    </xf>
    <xf numFmtId="165" fontId="0" fillId="0" borderId="0" xfId="0" applyNumberFormat="1">
      <alignment vertical="top" wrapText="1"/>
    </xf>
    <xf numFmtId="43" fontId="0" fillId="0" borderId="0" xfId="3" applyFont="1" applyAlignment="1">
      <alignment vertical="top" wrapText="1"/>
    </xf>
    <xf numFmtId="43" fontId="0" fillId="0" borderId="0" xfId="0" applyNumberFormat="1">
      <alignment vertical="top" wrapText="1"/>
    </xf>
    <xf numFmtId="167" fontId="0" fillId="0" borderId="0" xfId="2" applyNumberFormat="1" applyFont="1" applyAlignment="1">
      <alignment vertical="top" wrapText="1"/>
    </xf>
    <xf numFmtId="9" fontId="0" fillId="0" borderId="0" xfId="2" applyFont="1" applyAlignment="1">
      <alignment vertical="top" wrapText="1"/>
    </xf>
    <xf numFmtId="0" fontId="2" fillId="0" borderId="0" xfId="0" applyFont="1">
      <alignment vertical="top" wrapText="1"/>
    </xf>
    <xf numFmtId="0" fontId="1" fillId="0" borderId="0" xfId="0" applyFont="1">
      <alignment vertical="top" wrapText="1"/>
    </xf>
    <xf numFmtId="10" fontId="0" fillId="0" borderId="0" xfId="2" applyNumberFormat="1" applyFont="1" applyAlignment="1">
      <alignment vertical="top" wrapText="1"/>
    </xf>
    <xf numFmtId="168" fontId="0" fillId="0" borderId="0" xfId="0" applyNumberFormat="1">
      <alignment vertical="top" wrapText="1"/>
    </xf>
    <xf numFmtId="169" fontId="0" fillId="0" borderId="0" xfId="0" applyNumberFormat="1">
      <alignment vertical="top" wrapText="1"/>
    </xf>
    <xf numFmtId="10" fontId="0" fillId="0" borderId="0" xfId="0" applyNumberFormat="1">
      <alignment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Fill="1">
      <alignment vertical="top" wrapText="1"/>
    </xf>
    <xf numFmtId="166" fontId="1" fillId="0" borderId="0" xfId="0" applyNumberFormat="1" applyFont="1">
      <alignment vertical="top" wrapText="1"/>
    </xf>
    <xf numFmtId="0" fontId="2" fillId="0" borderId="0" xfId="0" applyFont="1" applyAlignment="1">
      <alignment horizontal="center" vertical="top"/>
    </xf>
    <xf numFmtId="166" fontId="1" fillId="4" borderId="0" xfId="0" applyNumberFormat="1" applyFont="1" applyFill="1">
      <alignment vertical="top" wrapText="1"/>
    </xf>
    <xf numFmtId="10" fontId="0" fillId="4" borderId="0" xfId="2" applyNumberFormat="1" applyFont="1" applyFill="1" applyAlignment="1">
      <alignment vertical="top" wrapText="1"/>
    </xf>
    <xf numFmtId="43" fontId="0" fillId="0" borderId="0" xfId="2" applyNumberFormat="1" applyFont="1" applyAlignment="1">
      <alignment vertical="top" wrapText="1"/>
    </xf>
    <xf numFmtId="0" fontId="1" fillId="4" borderId="0" xfId="0" applyFont="1" applyFill="1">
      <alignment vertical="top" wrapText="1"/>
    </xf>
    <xf numFmtId="165" fontId="0" fillId="4" borderId="0" xfId="2" applyNumberFormat="1" applyFont="1" applyFill="1" applyAlignment="1">
      <alignment vertical="top" wrapText="1"/>
    </xf>
    <xf numFmtId="0" fontId="0" fillId="0" borderId="0" xfId="0" applyNumberFormat="1">
      <alignment vertical="top" wrapText="1"/>
    </xf>
    <xf numFmtId="2" fontId="0" fillId="0" borderId="0" xfId="2" applyNumberFormat="1" applyFont="1" applyAlignment="1">
      <alignment vertical="top" wrapText="1"/>
    </xf>
    <xf numFmtId="0" fontId="0" fillId="0" borderId="0" xfId="0" applyFill="1">
      <alignment vertical="top" wrapText="1"/>
    </xf>
    <xf numFmtId="43" fontId="0" fillId="0" borderId="0" xfId="0" applyNumberFormat="1" applyFill="1">
      <alignment vertical="top" wrapText="1"/>
    </xf>
    <xf numFmtId="0" fontId="0" fillId="5" borderId="0" xfId="0" applyFill="1">
      <alignment vertical="top" wrapText="1"/>
    </xf>
    <xf numFmtId="9" fontId="0" fillId="0" borderId="0" xfId="0" applyNumberFormat="1">
      <alignment vertical="top" wrapText="1"/>
    </xf>
    <xf numFmtId="2" fontId="0" fillId="4" borderId="0" xfId="0" applyNumberFormat="1" applyFill="1">
      <alignment vertical="top" wrapText="1"/>
    </xf>
    <xf numFmtId="0" fontId="0" fillId="4" borderId="0" xfId="0" applyFill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CCDDA639-EF62-5148-B91C-C7A847BB1AF7}"/>
    <cellStyle name="Percent" xfId="2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BDC0BF"/>
      <rgbColor rgb="FFA5A5A5"/>
      <rgbColor rgb="FF3F3F3F"/>
      <rgbColor rgb="FFDBDBDB"/>
      <rgbColor rgb="FF878787"/>
      <rgbColor rgb="FF0076BA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A61986-AD54-7B44-A342-00117A485A4F}">
  <we:reference id="wa200000018" version="21.5.1.1" store="en-US" storeType="OMEX"/>
  <we:alternateReferences>
    <we:reference id="wa200000018" version="21.5.1.1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A6C7-E3B1-1C42-93B2-C2561B752AAB}">
  <dimension ref="A3:AH105"/>
  <sheetViews>
    <sheetView tabSelected="1" topLeftCell="R29" zoomScale="150" zoomScaleNormal="150" workbookViewId="0">
      <selection activeCell="V42" sqref="V42"/>
    </sheetView>
  </sheetViews>
  <sheetFormatPr baseColWidth="10" defaultColWidth="10.83203125" defaultRowHeight="13" x14ac:dyDescent="0.15"/>
  <cols>
    <col min="1" max="1" width="18.1640625" customWidth="1"/>
    <col min="3" max="3" width="16.33203125" bestFit="1" customWidth="1"/>
    <col min="6" max="6" width="12.6640625" bestFit="1" customWidth="1"/>
    <col min="7" max="8" width="11.6640625" bestFit="1" customWidth="1"/>
    <col min="9" max="9" width="14.83203125" customWidth="1"/>
    <col min="10" max="10" width="12.1640625" bestFit="1" customWidth="1"/>
    <col min="11" max="14" width="13.1640625" bestFit="1" customWidth="1"/>
    <col min="15" max="15" width="11.83203125" bestFit="1" customWidth="1"/>
    <col min="16" max="16" width="11.6640625" bestFit="1" customWidth="1"/>
    <col min="18" max="18" width="19.1640625" customWidth="1"/>
    <col min="19" max="19" width="17" bestFit="1" customWidth="1"/>
    <col min="20" max="20" width="13.6640625" bestFit="1" customWidth="1"/>
    <col min="21" max="21" width="12.33203125" bestFit="1" customWidth="1"/>
    <col min="22" max="25" width="11.6640625" bestFit="1" customWidth="1"/>
    <col min="26" max="26" width="16.5" customWidth="1"/>
    <col min="28" max="28" width="15.83203125" customWidth="1"/>
    <col min="29" max="29" width="11.6640625" bestFit="1" customWidth="1"/>
  </cols>
  <sheetData>
    <row r="3" spans="1:22" ht="14" x14ac:dyDescent="0.15">
      <c r="A3" s="23" t="s">
        <v>146</v>
      </c>
      <c r="B3">
        <v>5</v>
      </c>
    </row>
    <row r="8" spans="1:22" x14ac:dyDescent="0.15">
      <c r="Q8" s="47" t="s">
        <v>147</v>
      </c>
      <c r="R8" s="47"/>
      <c r="S8" s="47"/>
    </row>
    <row r="9" spans="1:22" ht="42" x14ac:dyDescent="0.15">
      <c r="B9" s="23" t="s">
        <v>135</v>
      </c>
      <c r="C9" s="23" t="s">
        <v>136</v>
      </c>
      <c r="D9" s="23" t="s">
        <v>137</v>
      </c>
      <c r="E9" s="23" t="s">
        <v>151</v>
      </c>
      <c r="F9" s="23" t="s">
        <v>138</v>
      </c>
      <c r="G9" s="23" t="s">
        <v>153</v>
      </c>
      <c r="H9" s="23" t="s">
        <v>139</v>
      </c>
      <c r="I9" s="23" t="s">
        <v>140</v>
      </c>
      <c r="J9" s="23" t="s">
        <v>141</v>
      </c>
      <c r="K9" s="23" t="s">
        <v>142</v>
      </c>
      <c r="L9" s="23" t="s">
        <v>143</v>
      </c>
      <c r="N9" s="48" t="s">
        <v>144</v>
      </c>
      <c r="O9" s="48"/>
      <c r="Q9" s="23" t="s">
        <v>149</v>
      </c>
      <c r="R9" s="23" t="s">
        <v>148</v>
      </c>
      <c r="S9" s="23" t="s">
        <v>139</v>
      </c>
      <c r="T9" s="48" t="s">
        <v>144</v>
      </c>
      <c r="U9" s="48"/>
      <c r="V9" s="23" t="s">
        <v>196</v>
      </c>
    </row>
    <row r="10" spans="1:22" x14ac:dyDescent="0.15">
      <c r="B10">
        <v>1</v>
      </c>
      <c r="C10">
        <v>605</v>
      </c>
      <c r="D10" s="22">
        <v>0.01</v>
      </c>
      <c r="E10" s="22">
        <v>0.03</v>
      </c>
      <c r="F10" s="15">
        <f>E10+D10</f>
        <v>0.04</v>
      </c>
      <c r="G10">
        <f t="shared" ref="G10:G39" si="0">C10*(1+($B$3*F10))</f>
        <v>726</v>
      </c>
      <c r="H10" s="16">
        <f t="shared" ref="H10:H39" si="1">G10/(12*$B$3)</f>
        <v>12.1</v>
      </c>
      <c r="I10" s="17">
        <f t="shared" ref="I10:I39" si="2">H10-(C10/12/$B$3)</f>
        <v>2.0166666666666675</v>
      </c>
      <c r="J10" s="17">
        <f>(D10)*C10/12</f>
        <v>0.50416666666666665</v>
      </c>
      <c r="K10" s="17">
        <f>E10*C10/12</f>
        <v>1.5125</v>
      </c>
      <c r="L10" s="15">
        <f>K10/H10</f>
        <v>0.125</v>
      </c>
      <c r="M10" s="18"/>
      <c r="N10" s="17">
        <f>J10+K10</f>
        <v>2.0166666666666666</v>
      </c>
      <c r="O10" s="17">
        <f>N10-I10</f>
        <v>0</v>
      </c>
      <c r="Q10" s="17">
        <f>(1-$F$46)*K10</f>
        <v>0.75624999999999998</v>
      </c>
      <c r="R10" s="17">
        <f>J10</f>
        <v>0.50416666666666665</v>
      </c>
      <c r="S10" s="17">
        <f>(R10+Q10)+(H10-I10)</f>
        <v>11.343749999999998</v>
      </c>
      <c r="T10" s="17">
        <f>(C10*(1+$B$3*(D10+(1-$F$46)*E10)))/12/$B$3</f>
        <v>11.34375</v>
      </c>
      <c r="U10" s="17">
        <f>S10-T10</f>
        <v>0</v>
      </c>
      <c r="V10" s="17">
        <f>S10*$B$3*12</f>
        <v>680.62499999999989</v>
      </c>
    </row>
    <row r="11" spans="1:22" x14ac:dyDescent="0.15">
      <c r="B11">
        <v>2</v>
      </c>
      <c r="C11">
        <v>387</v>
      </c>
      <c r="D11" s="22">
        <v>0.01</v>
      </c>
      <c r="E11" s="22">
        <v>7.0000000000000007E-2</v>
      </c>
      <c r="F11" s="15">
        <f t="shared" ref="F11:F39" si="3">E11+D11</f>
        <v>0.08</v>
      </c>
      <c r="G11">
        <f t="shared" si="0"/>
        <v>541.79999999999995</v>
      </c>
      <c r="H11" s="16">
        <f t="shared" si="1"/>
        <v>9.0299999999999994</v>
      </c>
      <c r="I11" s="17">
        <f t="shared" si="2"/>
        <v>2.5799999999999992</v>
      </c>
      <c r="J11" s="17">
        <f t="shared" ref="J11:J39" si="4">(D11)*C11/12</f>
        <v>0.32250000000000001</v>
      </c>
      <c r="K11" s="17">
        <f t="shared" ref="K11:K39" si="5">E11*C11/12</f>
        <v>2.2575000000000003</v>
      </c>
      <c r="L11" s="15">
        <f t="shared" ref="L11:L39" si="6">K11/H11</f>
        <v>0.25000000000000006</v>
      </c>
      <c r="N11" s="17">
        <f t="shared" ref="N11:N39" si="7">J11+K11</f>
        <v>2.58</v>
      </c>
      <c r="O11" s="17">
        <f t="shared" ref="O11:O39" si="8">N11-I11</f>
        <v>0</v>
      </c>
      <c r="Q11" s="17">
        <f t="shared" ref="Q11:Q39" si="9">(1-$F$46)*K11</f>
        <v>1.1287500000000001</v>
      </c>
      <c r="R11" s="17">
        <f t="shared" ref="R11:R39" si="10">J11</f>
        <v>0.32250000000000001</v>
      </c>
      <c r="S11" s="17">
        <f t="shared" ref="S11:S39" si="11">(R11+Q11)+(H11-I11)</f>
        <v>7.9012500000000001</v>
      </c>
      <c r="T11" s="17">
        <f t="shared" ref="T11:T39" si="12">(C11*(1+$B$3*(D11+(1-$F$46)*E11)))/12/$B$3</f>
        <v>7.9012500000000001</v>
      </c>
      <c r="U11" s="17">
        <f t="shared" ref="U11:U39" si="13">S11-T11</f>
        <v>0</v>
      </c>
      <c r="V11" s="17">
        <f t="shared" ref="V11:V39" si="14">S11*$B$3*12</f>
        <v>474.07500000000005</v>
      </c>
    </row>
    <row r="12" spans="1:22" x14ac:dyDescent="0.15">
      <c r="B12">
        <v>3</v>
      </c>
      <c r="C12">
        <v>473</v>
      </c>
      <c r="D12" s="22">
        <v>0.01</v>
      </c>
      <c r="E12" s="22">
        <v>0.1</v>
      </c>
      <c r="F12" s="15">
        <f t="shared" si="3"/>
        <v>0.11</v>
      </c>
      <c r="G12">
        <f t="shared" si="0"/>
        <v>733.15</v>
      </c>
      <c r="H12" s="16">
        <f t="shared" si="1"/>
        <v>12.219166666666666</v>
      </c>
      <c r="I12" s="17">
        <f t="shared" si="2"/>
        <v>4.3358333333333334</v>
      </c>
      <c r="J12" s="17">
        <f t="shared" si="4"/>
        <v>0.39416666666666672</v>
      </c>
      <c r="K12" s="17">
        <f t="shared" si="5"/>
        <v>3.9416666666666669</v>
      </c>
      <c r="L12" s="15">
        <f t="shared" si="6"/>
        <v>0.32258064516129037</v>
      </c>
      <c r="N12" s="17">
        <f t="shared" si="7"/>
        <v>4.3358333333333334</v>
      </c>
      <c r="O12" s="17">
        <f t="shared" si="8"/>
        <v>0</v>
      </c>
      <c r="Q12" s="17">
        <f t="shared" si="9"/>
        <v>1.9708333333333334</v>
      </c>
      <c r="R12" s="17">
        <f t="shared" si="10"/>
        <v>0.39416666666666672</v>
      </c>
      <c r="S12" s="17">
        <f t="shared" si="11"/>
        <v>10.248333333333333</v>
      </c>
      <c r="T12" s="17">
        <f t="shared" si="12"/>
        <v>10.248333333333333</v>
      </c>
      <c r="U12" s="17">
        <f t="shared" si="13"/>
        <v>0</v>
      </c>
      <c r="V12" s="17">
        <f t="shared" si="14"/>
        <v>614.9</v>
      </c>
    </row>
    <row r="13" spans="1:22" x14ac:dyDescent="0.15">
      <c r="B13">
        <v>4</v>
      </c>
      <c r="C13">
        <v>877</v>
      </c>
      <c r="D13" s="22">
        <v>0.01</v>
      </c>
      <c r="E13" s="22">
        <v>0.08</v>
      </c>
      <c r="F13" s="15">
        <f t="shared" si="3"/>
        <v>0.09</v>
      </c>
      <c r="G13">
        <f t="shared" si="0"/>
        <v>1271.6499999999999</v>
      </c>
      <c r="H13" s="16">
        <f t="shared" si="1"/>
        <v>21.194166666666664</v>
      </c>
      <c r="I13" s="17">
        <f t="shared" si="2"/>
        <v>6.5774999999999988</v>
      </c>
      <c r="J13" s="17">
        <f t="shared" si="4"/>
        <v>0.73083333333333333</v>
      </c>
      <c r="K13" s="17">
        <f t="shared" si="5"/>
        <v>5.8466666666666667</v>
      </c>
      <c r="L13" s="15">
        <f t="shared" si="6"/>
        <v>0.27586206896551729</v>
      </c>
      <c r="N13" s="17">
        <f t="shared" si="7"/>
        <v>6.5774999999999997</v>
      </c>
      <c r="O13" s="17">
        <f t="shared" si="8"/>
        <v>0</v>
      </c>
      <c r="Q13" s="17">
        <f t="shared" si="9"/>
        <v>2.9233333333333333</v>
      </c>
      <c r="R13" s="17">
        <f t="shared" si="10"/>
        <v>0.73083333333333333</v>
      </c>
      <c r="S13" s="17">
        <f t="shared" si="11"/>
        <v>18.270833333333332</v>
      </c>
      <c r="T13" s="17">
        <f t="shared" si="12"/>
        <v>18.270833333333336</v>
      </c>
      <c r="U13" s="17">
        <f t="shared" si="13"/>
        <v>0</v>
      </c>
      <c r="V13" s="17">
        <f t="shared" si="14"/>
        <v>1096.25</v>
      </c>
    </row>
    <row r="14" spans="1:22" x14ac:dyDescent="0.15">
      <c r="A14">
        <f ca="1">RANDBETWEEN(100, 1000)</f>
        <v>460</v>
      </c>
      <c r="B14">
        <v>5</v>
      </c>
      <c r="C14">
        <v>942</v>
      </c>
      <c r="D14" s="22">
        <v>0.01</v>
      </c>
      <c r="E14" s="22">
        <v>7.0000000000000007E-2</v>
      </c>
      <c r="F14" s="15">
        <f t="shared" si="3"/>
        <v>0.08</v>
      </c>
      <c r="G14">
        <f t="shared" si="0"/>
        <v>1318.8</v>
      </c>
      <c r="H14" s="16">
        <f t="shared" si="1"/>
        <v>21.98</v>
      </c>
      <c r="I14" s="17">
        <f t="shared" si="2"/>
        <v>6.2800000000000011</v>
      </c>
      <c r="J14" s="17">
        <f t="shared" si="4"/>
        <v>0.78500000000000003</v>
      </c>
      <c r="K14" s="17">
        <f t="shared" si="5"/>
        <v>5.495000000000001</v>
      </c>
      <c r="L14" s="15">
        <f t="shared" si="6"/>
        <v>0.25000000000000006</v>
      </c>
      <c r="N14" s="17">
        <f t="shared" si="7"/>
        <v>6.2800000000000011</v>
      </c>
      <c r="O14" s="17">
        <f t="shared" si="8"/>
        <v>0</v>
      </c>
      <c r="Q14" s="17">
        <f t="shared" si="9"/>
        <v>2.7475000000000005</v>
      </c>
      <c r="R14" s="17">
        <f t="shared" si="10"/>
        <v>0.78500000000000003</v>
      </c>
      <c r="S14" s="17">
        <f t="shared" si="11"/>
        <v>19.232500000000002</v>
      </c>
      <c r="T14" s="17">
        <f t="shared" si="12"/>
        <v>19.232500000000002</v>
      </c>
      <c r="U14" s="17">
        <f t="shared" si="13"/>
        <v>0</v>
      </c>
      <c r="V14" s="17">
        <f t="shared" si="14"/>
        <v>1153.95</v>
      </c>
    </row>
    <row r="15" spans="1:22" x14ac:dyDescent="0.15">
      <c r="B15">
        <v>6</v>
      </c>
      <c r="C15">
        <v>571</v>
      </c>
      <c r="D15" s="22">
        <v>0.01</v>
      </c>
      <c r="E15" s="22">
        <v>0.03</v>
      </c>
      <c r="F15" s="15">
        <f t="shared" si="3"/>
        <v>0.04</v>
      </c>
      <c r="G15">
        <f t="shared" si="0"/>
        <v>685.19999999999993</v>
      </c>
      <c r="H15" s="16">
        <f t="shared" si="1"/>
        <v>11.419999999999998</v>
      </c>
      <c r="I15" s="17">
        <f t="shared" si="2"/>
        <v>1.9033333333333307</v>
      </c>
      <c r="J15" s="17">
        <f t="shared" si="4"/>
        <v>0.47583333333333333</v>
      </c>
      <c r="K15" s="17">
        <f t="shared" si="5"/>
        <v>1.4275</v>
      </c>
      <c r="L15" s="15">
        <f t="shared" si="6"/>
        <v>0.12500000000000003</v>
      </c>
      <c r="N15" s="17">
        <f t="shared" si="7"/>
        <v>1.9033333333333333</v>
      </c>
      <c r="O15" s="17">
        <f t="shared" si="8"/>
        <v>2.6645352591003757E-15</v>
      </c>
      <c r="Q15" s="17">
        <f t="shared" si="9"/>
        <v>0.71375</v>
      </c>
      <c r="R15" s="17">
        <f t="shared" si="10"/>
        <v>0.47583333333333333</v>
      </c>
      <c r="S15" s="17">
        <f t="shared" si="11"/>
        <v>10.706250000000001</v>
      </c>
      <c r="T15" s="17">
        <f t="shared" si="12"/>
        <v>10.706250000000001</v>
      </c>
      <c r="U15" s="17">
        <f t="shared" si="13"/>
        <v>0</v>
      </c>
      <c r="V15" s="17">
        <f t="shared" si="14"/>
        <v>642.375</v>
      </c>
    </row>
    <row r="16" spans="1:22" x14ac:dyDescent="0.15">
      <c r="B16">
        <v>7</v>
      </c>
      <c r="C16">
        <v>473</v>
      </c>
      <c r="D16" s="22">
        <v>0.01</v>
      </c>
      <c r="E16" s="22">
        <v>0.03</v>
      </c>
      <c r="F16" s="15">
        <f t="shared" si="3"/>
        <v>0.04</v>
      </c>
      <c r="G16">
        <f t="shared" si="0"/>
        <v>567.6</v>
      </c>
      <c r="H16" s="16">
        <f t="shared" si="1"/>
        <v>9.4600000000000009</v>
      </c>
      <c r="I16" s="17">
        <f t="shared" si="2"/>
        <v>1.576666666666668</v>
      </c>
      <c r="J16" s="17">
        <f t="shared" si="4"/>
        <v>0.39416666666666672</v>
      </c>
      <c r="K16" s="17">
        <f t="shared" si="5"/>
        <v>1.1824999999999999</v>
      </c>
      <c r="L16" s="15">
        <f t="shared" si="6"/>
        <v>0.12499999999999997</v>
      </c>
      <c r="N16" s="17">
        <f t="shared" si="7"/>
        <v>1.5766666666666667</v>
      </c>
      <c r="O16" s="17">
        <f t="shared" si="8"/>
        <v>0</v>
      </c>
      <c r="Q16" s="17">
        <f t="shared" si="9"/>
        <v>0.59124999999999994</v>
      </c>
      <c r="R16" s="17">
        <f t="shared" si="10"/>
        <v>0.39416666666666672</v>
      </c>
      <c r="S16" s="17">
        <f t="shared" si="11"/>
        <v>8.8687499999999986</v>
      </c>
      <c r="T16" s="17">
        <f t="shared" si="12"/>
        <v>8.8687500000000004</v>
      </c>
      <c r="U16" s="17">
        <f t="shared" si="13"/>
        <v>0</v>
      </c>
      <c r="V16" s="17">
        <f t="shared" si="14"/>
        <v>532.12499999999989</v>
      </c>
    </row>
    <row r="17" spans="2:22" x14ac:dyDescent="0.15">
      <c r="B17">
        <v>8</v>
      </c>
      <c r="C17">
        <v>290</v>
      </c>
      <c r="D17" s="22">
        <v>0.01</v>
      </c>
      <c r="E17" s="22">
        <v>0.05</v>
      </c>
      <c r="F17" s="15">
        <f t="shared" si="3"/>
        <v>6.0000000000000005E-2</v>
      </c>
      <c r="G17">
        <f t="shared" si="0"/>
        <v>377</v>
      </c>
      <c r="H17" s="16">
        <f t="shared" si="1"/>
        <v>6.2833333333333332</v>
      </c>
      <c r="I17" s="17">
        <f t="shared" si="2"/>
        <v>1.4499999999999993</v>
      </c>
      <c r="J17" s="17">
        <f t="shared" si="4"/>
        <v>0.24166666666666667</v>
      </c>
      <c r="K17" s="17">
        <f t="shared" si="5"/>
        <v>1.2083333333333333</v>
      </c>
      <c r="L17" s="15">
        <f t="shared" si="6"/>
        <v>0.19230769230769229</v>
      </c>
      <c r="N17" s="17">
        <f t="shared" si="7"/>
        <v>1.45</v>
      </c>
      <c r="O17" s="17">
        <f t="shared" si="8"/>
        <v>0</v>
      </c>
      <c r="Q17" s="17">
        <f t="shared" si="9"/>
        <v>0.60416666666666663</v>
      </c>
      <c r="R17" s="17">
        <f t="shared" si="10"/>
        <v>0.24166666666666667</v>
      </c>
      <c r="S17" s="17">
        <f t="shared" si="11"/>
        <v>5.6791666666666671</v>
      </c>
      <c r="T17" s="17">
        <f t="shared" si="12"/>
        <v>5.6791666666666663</v>
      </c>
      <c r="U17" s="17">
        <f t="shared" si="13"/>
        <v>0</v>
      </c>
      <c r="V17" s="17">
        <f t="shared" si="14"/>
        <v>340.75</v>
      </c>
    </row>
    <row r="18" spans="2:22" x14ac:dyDescent="0.15">
      <c r="B18">
        <v>9</v>
      </c>
      <c r="C18">
        <v>806</v>
      </c>
      <c r="D18" s="22">
        <v>0.01</v>
      </c>
      <c r="E18" s="22">
        <v>0.1</v>
      </c>
      <c r="F18" s="15">
        <f t="shared" si="3"/>
        <v>0.11</v>
      </c>
      <c r="G18">
        <f t="shared" si="0"/>
        <v>1249.3</v>
      </c>
      <c r="H18" s="16">
        <f t="shared" si="1"/>
        <v>20.821666666666665</v>
      </c>
      <c r="I18" s="17">
        <f t="shared" si="2"/>
        <v>7.3883333333333319</v>
      </c>
      <c r="J18" s="17">
        <f t="shared" si="4"/>
        <v>0.67166666666666675</v>
      </c>
      <c r="K18" s="17">
        <f t="shared" si="5"/>
        <v>6.7166666666666677</v>
      </c>
      <c r="L18" s="15">
        <f t="shared" si="6"/>
        <v>0.32258064516129037</v>
      </c>
      <c r="N18" s="17">
        <f t="shared" si="7"/>
        <v>7.3883333333333345</v>
      </c>
      <c r="O18" s="17">
        <f t="shared" si="8"/>
        <v>0</v>
      </c>
      <c r="Q18" s="17">
        <f t="shared" si="9"/>
        <v>3.3583333333333338</v>
      </c>
      <c r="R18" s="17">
        <f t="shared" si="10"/>
        <v>0.67166666666666675</v>
      </c>
      <c r="S18" s="17">
        <f t="shared" si="11"/>
        <v>17.463333333333335</v>
      </c>
      <c r="T18" s="17">
        <f t="shared" si="12"/>
        <v>17.463333333333331</v>
      </c>
      <c r="U18" s="17">
        <f t="shared" si="13"/>
        <v>0</v>
      </c>
      <c r="V18" s="17">
        <f t="shared" si="14"/>
        <v>1047.8000000000002</v>
      </c>
    </row>
    <row r="19" spans="2:22" x14ac:dyDescent="0.15">
      <c r="B19">
        <v>10</v>
      </c>
      <c r="C19">
        <v>556</v>
      </c>
      <c r="D19" s="22">
        <v>0.01</v>
      </c>
      <c r="E19" s="22">
        <v>0.1</v>
      </c>
      <c r="F19" s="15">
        <f t="shared" si="3"/>
        <v>0.11</v>
      </c>
      <c r="G19">
        <f t="shared" si="0"/>
        <v>861.80000000000007</v>
      </c>
      <c r="H19" s="16">
        <f t="shared" si="1"/>
        <v>14.363333333333335</v>
      </c>
      <c r="I19" s="17">
        <f t="shared" si="2"/>
        <v>5.0966666666666676</v>
      </c>
      <c r="J19" s="17">
        <f t="shared" si="4"/>
        <v>0.46333333333333337</v>
      </c>
      <c r="K19" s="17">
        <f t="shared" si="5"/>
        <v>4.6333333333333337</v>
      </c>
      <c r="L19" s="15">
        <f t="shared" si="6"/>
        <v>0.32258064516129031</v>
      </c>
      <c r="N19" s="17">
        <f t="shared" si="7"/>
        <v>5.0966666666666676</v>
      </c>
      <c r="O19" s="17">
        <f t="shared" si="8"/>
        <v>0</v>
      </c>
      <c r="Q19" s="17">
        <f t="shared" si="9"/>
        <v>2.3166666666666669</v>
      </c>
      <c r="R19" s="17">
        <f t="shared" si="10"/>
        <v>0.46333333333333337</v>
      </c>
      <c r="S19" s="17">
        <f t="shared" si="11"/>
        <v>12.046666666666667</v>
      </c>
      <c r="T19" s="17">
        <f t="shared" si="12"/>
        <v>12.046666666666669</v>
      </c>
      <c r="U19" s="17">
        <f t="shared" si="13"/>
        <v>0</v>
      </c>
      <c r="V19" s="17">
        <f t="shared" si="14"/>
        <v>722.8</v>
      </c>
    </row>
    <row r="20" spans="2:22" x14ac:dyDescent="0.15">
      <c r="B20">
        <v>11</v>
      </c>
      <c r="C20">
        <v>629</v>
      </c>
      <c r="D20" s="22">
        <v>0.01</v>
      </c>
      <c r="E20" s="22">
        <v>0.1</v>
      </c>
      <c r="F20" s="15">
        <f t="shared" si="3"/>
        <v>0.11</v>
      </c>
      <c r="G20">
        <f t="shared" si="0"/>
        <v>974.95</v>
      </c>
      <c r="H20" s="16">
        <f t="shared" si="1"/>
        <v>16.249166666666667</v>
      </c>
      <c r="I20" s="17">
        <f t="shared" si="2"/>
        <v>5.7658333333333349</v>
      </c>
      <c r="J20" s="17">
        <f t="shared" si="4"/>
        <v>0.52416666666666667</v>
      </c>
      <c r="K20" s="17">
        <f t="shared" si="5"/>
        <v>5.2416666666666671</v>
      </c>
      <c r="L20" s="15">
        <f t="shared" si="6"/>
        <v>0.32258064516129031</v>
      </c>
      <c r="N20" s="17">
        <f t="shared" si="7"/>
        <v>5.765833333333334</v>
      </c>
      <c r="O20" s="17">
        <f t="shared" si="8"/>
        <v>0</v>
      </c>
      <c r="Q20" s="17">
        <f t="shared" si="9"/>
        <v>2.6208333333333336</v>
      </c>
      <c r="R20" s="17">
        <f t="shared" si="10"/>
        <v>0.52416666666666667</v>
      </c>
      <c r="S20" s="17">
        <f t="shared" si="11"/>
        <v>13.628333333333334</v>
      </c>
      <c r="T20" s="17">
        <f t="shared" si="12"/>
        <v>13.628333333333334</v>
      </c>
      <c r="U20" s="17">
        <f t="shared" si="13"/>
        <v>0</v>
      </c>
      <c r="V20" s="17">
        <f t="shared" si="14"/>
        <v>817.7</v>
      </c>
    </row>
    <row r="21" spans="2:22" x14ac:dyDescent="0.15">
      <c r="B21">
        <v>12</v>
      </c>
      <c r="C21">
        <v>986</v>
      </c>
      <c r="D21" s="22">
        <v>0.01</v>
      </c>
      <c r="E21" s="22">
        <v>0.05</v>
      </c>
      <c r="F21" s="15">
        <f t="shared" si="3"/>
        <v>6.0000000000000005E-2</v>
      </c>
      <c r="G21">
        <f t="shared" si="0"/>
        <v>1281.8</v>
      </c>
      <c r="H21" s="16">
        <f t="shared" si="1"/>
        <v>21.363333333333333</v>
      </c>
      <c r="I21" s="17">
        <f t="shared" si="2"/>
        <v>4.93</v>
      </c>
      <c r="J21" s="17">
        <f t="shared" si="4"/>
        <v>0.82166666666666666</v>
      </c>
      <c r="K21" s="17">
        <f t="shared" si="5"/>
        <v>4.1083333333333334</v>
      </c>
      <c r="L21" s="15">
        <f t="shared" si="6"/>
        <v>0.19230769230769232</v>
      </c>
      <c r="N21" s="17">
        <f t="shared" si="7"/>
        <v>4.93</v>
      </c>
      <c r="O21" s="17">
        <f t="shared" si="8"/>
        <v>0</v>
      </c>
      <c r="Q21" s="17">
        <f t="shared" si="9"/>
        <v>2.0541666666666667</v>
      </c>
      <c r="R21" s="17">
        <f t="shared" si="10"/>
        <v>0.82166666666666666</v>
      </c>
      <c r="S21" s="17">
        <f t="shared" si="11"/>
        <v>19.309166666666666</v>
      </c>
      <c r="T21" s="17">
        <f t="shared" si="12"/>
        <v>19.309166666666666</v>
      </c>
      <c r="U21" s="17">
        <f t="shared" si="13"/>
        <v>0</v>
      </c>
      <c r="V21" s="17">
        <f t="shared" si="14"/>
        <v>1158.55</v>
      </c>
    </row>
    <row r="22" spans="2:22" x14ac:dyDescent="0.15">
      <c r="B22">
        <v>13</v>
      </c>
      <c r="C22">
        <v>831</v>
      </c>
      <c r="D22" s="22">
        <v>0.01</v>
      </c>
      <c r="E22" s="22">
        <v>0.08</v>
      </c>
      <c r="F22" s="15">
        <f t="shared" si="3"/>
        <v>0.09</v>
      </c>
      <c r="G22">
        <f t="shared" si="0"/>
        <v>1204.95</v>
      </c>
      <c r="H22" s="16">
        <f t="shared" si="1"/>
        <v>20.0825</v>
      </c>
      <c r="I22" s="17">
        <f t="shared" si="2"/>
        <v>6.2324999999999999</v>
      </c>
      <c r="J22" s="17">
        <f t="shared" si="4"/>
        <v>0.6925</v>
      </c>
      <c r="K22" s="17">
        <f t="shared" si="5"/>
        <v>5.54</v>
      </c>
      <c r="L22" s="15">
        <f t="shared" si="6"/>
        <v>0.27586206896551724</v>
      </c>
      <c r="N22" s="17">
        <f t="shared" si="7"/>
        <v>6.2324999999999999</v>
      </c>
      <c r="O22" s="17">
        <f t="shared" si="8"/>
        <v>0</v>
      </c>
      <c r="Q22" s="17">
        <f t="shared" si="9"/>
        <v>2.77</v>
      </c>
      <c r="R22" s="17">
        <f t="shared" si="10"/>
        <v>0.6925</v>
      </c>
      <c r="S22" s="17">
        <f t="shared" si="11"/>
        <v>17.3125</v>
      </c>
      <c r="T22" s="17">
        <f t="shared" si="12"/>
        <v>17.3125</v>
      </c>
      <c r="U22" s="17">
        <f t="shared" si="13"/>
        <v>0</v>
      </c>
      <c r="V22" s="17">
        <f t="shared" si="14"/>
        <v>1038.75</v>
      </c>
    </row>
    <row r="23" spans="2:22" x14ac:dyDescent="0.15">
      <c r="B23">
        <v>14</v>
      </c>
      <c r="C23">
        <v>571</v>
      </c>
      <c r="D23" s="22">
        <v>0.01</v>
      </c>
      <c r="E23" s="22">
        <v>0.03</v>
      </c>
      <c r="F23" s="15">
        <f t="shared" si="3"/>
        <v>0.04</v>
      </c>
      <c r="G23">
        <f t="shared" si="0"/>
        <v>685.19999999999993</v>
      </c>
      <c r="H23" s="16">
        <f t="shared" si="1"/>
        <v>11.419999999999998</v>
      </c>
      <c r="I23" s="17">
        <f t="shared" si="2"/>
        <v>1.9033333333333307</v>
      </c>
      <c r="J23" s="17">
        <f t="shared" si="4"/>
        <v>0.47583333333333333</v>
      </c>
      <c r="K23" s="17">
        <f t="shared" si="5"/>
        <v>1.4275</v>
      </c>
      <c r="L23" s="15">
        <f t="shared" si="6"/>
        <v>0.12500000000000003</v>
      </c>
      <c r="N23" s="17">
        <f t="shared" si="7"/>
        <v>1.9033333333333333</v>
      </c>
      <c r="O23" s="17">
        <f t="shared" si="8"/>
        <v>2.6645352591003757E-15</v>
      </c>
      <c r="Q23" s="17">
        <f t="shared" si="9"/>
        <v>0.71375</v>
      </c>
      <c r="R23" s="17">
        <f t="shared" si="10"/>
        <v>0.47583333333333333</v>
      </c>
      <c r="S23" s="17">
        <f t="shared" si="11"/>
        <v>10.706250000000001</v>
      </c>
      <c r="T23" s="17">
        <f t="shared" si="12"/>
        <v>10.706250000000001</v>
      </c>
      <c r="U23" s="17">
        <f t="shared" si="13"/>
        <v>0</v>
      </c>
      <c r="V23" s="17">
        <f t="shared" si="14"/>
        <v>642.375</v>
      </c>
    </row>
    <row r="24" spans="2:22" x14ac:dyDescent="0.15">
      <c r="B24">
        <v>15</v>
      </c>
      <c r="C24">
        <v>605</v>
      </c>
      <c r="D24" s="22">
        <v>0.01</v>
      </c>
      <c r="E24" s="22">
        <v>0.01</v>
      </c>
      <c r="F24" s="15">
        <f t="shared" si="3"/>
        <v>0.02</v>
      </c>
      <c r="G24">
        <f t="shared" si="0"/>
        <v>665.5</v>
      </c>
      <c r="H24" s="16">
        <f t="shared" si="1"/>
        <v>11.091666666666667</v>
      </c>
      <c r="I24" s="17">
        <f t="shared" si="2"/>
        <v>1.0083333333333346</v>
      </c>
      <c r="J24" s="17">
        <f t="shared" si="4"/>
        <v>0.50416666666666665</v>
      </c>
      <c r="K24" s="17">
        <f t="shared" si="5"/>
        <v>0.50416666666666665</v>
      </c>
      <c r="L24" s="15">
        <f t="shared" si="6"/>
        <v>4.5454545454545456E-2</v>
      </c>
      <c r="N24" s="17">
        <f t="shared" si="7"/>
        <v>1.0083333333333333</v>
      </c>
      <c r="O24" s="17">
        <f t="shared" si="8"/>
        <v>0</v>
      </c>
      <c r="Q24" s="17">
        <f t="shared" si="9"/>
        <v>0.25208333333333333</v>
      </c>
      <c r="R24" s="17">
        <f t="shared" si="10"/>
        <v>0.50416666666666665</v>
      </c>
      <c r="S24" s="17">
        <f t="shared" si="11"/>
        <v>10.839583333333332</v>
      </c>
      <c r="T24" s="17">
        <f t="shared" si="12"/>
        <v>10.839583333333334</v>
      </c>
      <c r="U24" s="17">
        <f t="shared" si="13"/>
        <v>0</v>
      </c>
      <c r="V24" s="17">
        <f t="shared" si="14"/>
        <v>650.37499999999989</v>
      </c>
    </row>
    <row r="25" spans="2:22" x14ac:dyDescent="0.15">
      <c r="B25">
        <v>16</v>
      </c>
      <c r="C25">
        <v>857</v>
      </c>
      <c r="D25" s="22">
        <v>0.01</v>
      </c>
      <c r="E25" s="22">
        <v>0.08</v>
      </c>
      <c r="F25" s="15">
        <f t="shared" si="3"/>
        <v>0.09</v>
      </c>
      <c r="G25">
        <f t="shared" si="0"/>
        <v>1242.6499999999999</v>
      </c>
      <c r="H25" s="16">
        <f t="shared" si="1"/>
        <v>20.71083333333333</v>
      </c>
      <c r="I25" s="17">
        <f t="shared" si="2"/>
        <v>6.4274999999999949</v>
      </c>
      <c r="J25" s="17">
        <f t="shared" si="4"/>
        <v>0.71416666666666673</v>
      </c>
      <c r="K25" s="17">
        <f t="shared" si="5"/>
        <v>5.7133333333333338</v>
      </c>
      <c r="L25" s="15">
        <f t="shared" si="6"/>
        <v>0.27586206896551729</v>
      </c>
      <c r="N25" s="17">
        <f t="shared" si="7"/>
        <v>6.4275000000000002</v>
      </c>
      <c r="O25" s="17">
        <f t="shared" si="8"/>
        <v>0</v>
      </c>
      <c r="Q25" s="17">
        <f t="shared" si="9"/>
        <v>2.8566666666666669</v>
      </c>
      <c r="R25" s="17">
        <f t="shared" si="10"/>
        <v>0.71416666666666673</v>
      </c>
      <c r="S25" s="17">
        <f t="shared" si="11"/>
        <v>17.854166666666668</v>
      </c>
      <c r="T25" s="17">
        <f t="shared" si="12"/>
        <v>17.854166666666664</v>
      </c>
      <c r="U25" s="17">
        <f t="shared" si="13"/>
        <v>0</v>
      </c>
      <c r="V25" s="17">
        <f t="shared" si="14"/>
        <v>1071.25</v>
      </c>
    </row>
    <row r="26" spans="2:22" x14ac:dyDescent="0.15">
      <c r="B26">
        <v>17</v>
      </c>
      <c r="C26">
        <v>363</v>
      </c>
      <c r="D26" s="22">
        <v>0.01</v>
      </c>
      <c r="E26" s="22">
        <v>0.06</v>
      </c>
      <c r="F26" s="15">
        <f t="shared" si="3"/>
        <v>6.9999999999999993E-2</v>
      </c>
      <c r="G26">
        <f t="shared" si="0"/>
        <v>490.05</v>
      </c>
      <c r="H26" s="16">
        <f t="shared" si="1"/>
        <v>8.1675000000000004</v>
      </c>
      <c r="I26" s="17">
        <f t="shared" si="2"/>
        <v>2.1175000000000006</v>
      </c>
      <c r="J26" s="17">
        <f t="shared" si="4"/>
        <v>0.30249999999999999</v>
      </c>
      <c r="K26" s="17">
        <f t="shared" si="5"/>
        <v>1.8149999999999997</v>
      </c>
      <c r="L26" s="15">
        <f t="shared" si="6"/>
        <v>0.22222222222222218</v>
      </c>
      <c r="N26" s="17">
        <f t="shared" si="7"/>
        <v>2.1174999999999997</v>
      </c>
      <c r="O26" s="17">
        <f t="shared" si="8"/>
        <v>0</v>
      </c>
      <c r="Q26" s="17">
        <f t="shared" si="9"/>
        <v>0.90749999999999986</v>
      </c>
      <c r="R26" s="17">
        <f t="shared" si="10"/>
        <v>0.30249999999999999</v>
      </c>
      <c r="S26" s="17">
        <f t="shared" si="11"/>
        <v>7.26</v>
      </c>
      <c r="T26" s="17">
        <f t="shared" si="12"/>
        <v>7.26</v>
      </c>
      <c r="U26" s="17">
        <f t="shared" si="13"/>
        <v>0</v>
      </c>
      <c r="V26" s="17">
        <f t="shared" si="14"/>
        <v>435.59999999999997</v>
      </c>
    </row>
    <row r="27" spans="2:22" x14ac:dyDescent="0.15">
      <c r="B27">
        <v>18</v>
      </c>
      <c r="C27">
        <v>601</v>
      </c>
      <c r="D27" s="22">
        <v>0.01</v>
      </c>
      <c r="E27" s="22">
        <v>0.1</v>
      </c>
      <c r="F27" s="15">
        <f t="shared" si="3"/>
        <v>0.11</v>
      </c>
      <c r="G27">
        <f t="shared" si="0"/>
        <v>931.55000000000007</v>
      </c>
      <c r="H27" s="16">
        <f t="shared" si="1"/>
        <v>15.525833333333335</v>
      </c>
      <c r="I27" s="17">
        <f t="shared" si="2"/>
        <v>5.5091666666666672</v>
      </c>
      <c r="J27" s="17">
        <f t="shared" si="4"/>
        <v>0.50083333333333335</v>
      </c>
      <c r="K27" s="17">
        <f t="shared" si="5"/>
        <v>5.0083333333333337</v>
      </c>
      <c r="L27" s="15">
        <f t="shared" si="6"/>
        <v>0.32258064516129031</v>
      </c>
      <c r="N27" s="17">
        <f t="shared" si="7"/>
        <v>5.5091666666666672</v>
      </c>
      <c r="O27" s="17">
        <f t="shared" si="8"/>
        <v>0</v>
      </c>
      <c r="Q27" s="17">
        <f t="shared" si="9"/>
        <v>2.5041666666666669</v>
      </c>
      <c r="R27" s="17">
        <f t="shared" si="10"/>
        <v>0.50083333333333335</v>
      </c>
      <c r="S27" s="17">
        <f t="shared" si="11"/>
        <v>13.021666666666668</v>
      </c>
      <c r="T27" s="17">
        <f t="shared" si="12"/>
        <v>13.021666666666667</v>
      </c>
      <c r="U27" s="17">
        <f t="shared" si="13"/>
        <v>0</v>
      </c>
      <c r="V27" s="17">
        <f t="shared" si="14"/>
        <v>781.30000000000018</v>
      </c>
    </row>
    <row r="28" spans="2:22" x14ac:dyDescent="0.15">
      <c r="B28">
        <v>19</v>
      </c>
      <c r="C28">
        <v>522</v>
      </c>
      <c r="D28" s="22">
        <v>0.01</v>
      </c>
      <c r="E28" s="22">
        <v>0.1</v>
      </c>
      <c r="F28" s="15">
        <f t="shared" si="3"/>
        <v>0.11</v>
      </c>
      <c r="G28">
        <f t="shared" si="0"/>
        <v>809.1</v>
      </c>
      <c r="H28" s="16">
        <f t="shared" si="1"/>
        <v>13.485000000000001</v>
      </c>
      <c r="I28" s="17">
        <f t="shared" si="2"/>
        <v>4.7850000000000019</v>
      </c>
      <c r="J28" s="17">
        <f t="shared" si="4"/>
        <v>0.435</v>
      </c>
      <c r="K28" s="17">
        <f t="shared" si="5"/>
        <v>4.3500000000000005</v>
      </c>
      <c r="L28" s="15">
        <f t="shared" si="6"/>
        <v>0.32258064516129031</v>
      </c>
      <c r="N28" s="17">
        <f t="shared" si="7"/>
        <v>4.7850000000000001</v>
      </c>
      <c r="O28" s="17">
        <f t="shared" si="8"/>
        <v>0</v>
      </c>
      <c r="Q28" s="17">
        <f t="shared" si="9"/>
        <v>2.1750000000000003</v>
      </c>
      <c r="R28" s="17">
        <f t="shared" si="10"/>
        <v>0.435</v>
      </c>
      <c r="S28" s="17">
        <f t="shared" si="11"/>
        <v>11.309999999999999</v>
      </c>
      <c r="T28" s="17">
        <f t="shared" si="12"/>
        <v>11.31</v>
      </c>
      <c r="U28" s="17">
        <f t="shared" si="13"/>
        <v>0</v>
      </c>
      <c r="V28" s="17">
        <f t="shared" si="14"/>
        <v>678.59999999999991</v>
      </c>
    </row>
    <row r="29" spans="2:22" x14ac:dyDescent="0.15">
      <c r="B29">
        <v>20</v>
      </c>
      <c r="C29">
        <v>120</v>
      </c>
      <c r="D29" s="22">
        <v>0.01</v>
      </c>
      <c r="E29" s="22">
        <v>0.09</v>
      </c>
      <c r="F29" s="15">
        <f t="shared" si="3"/>
        <v>9.9999999999999992E-2</v>
      </c>
      <c r="G29">
        <f t="shared" si="0"/>
        <v>180</v>
      </c>
      <c r="H29" s="16">
        <f t="shared" si="1"/>
        <v>3</v>
      </c>
      <c r="I29" s="17">
        <f t="shared" si="2"/>
        <v>1</v>
      </c>
      <c r="J29" s="17">
        <f t="shared" si="4"/>
        <v>9.9999999999999992E-2</v>
      </c>
      <c r="K29" s="17">
        <f t="shared" si="5"/>
        <v>0.89999999999999991</v>
      </c>
      <c r="L29" s="15">
        <f t="shared" si="6"/>
        <v>0.3</v>
      </c>
      <c r="N29" s="17">
        <f t="shared" si="7"/>
        <v>0.99999999999999989</v>
      </c>
      <c r="O29" s="17">
        <f t="shared" si="8"/>
        <v>0</v>
      </c>
      <c r="Q29" s="17">
        <f t="shared" si="9"/>
        <v>0.44999999999999996</v>
      </c>
      <c r="R29" s="17">
        <f t="shared" si="10"/>
        <v>9.9999999999999992E-2</v>
      </c>
      <c r="S29" s="17">
        <f t="shared" si="11"/>
        <v>2.5499999999999998</v>
      </c>
      <c r="T29" s="17">
        <f t="shared" si="12"/>
        <v>2.5499999999999998</v>
      </c>
      <c r="U29" s="17">
        <f t="shared" si="13"/>
        <v>0</v>
      </c>
      <c r="V29" s="17">
        <f t="shared" si="14"/>
        <v>153</v>
      </c>
    </row>
    <row r="30" spans="2:22" x14ac:dyDescent="0.15">
      <c r="B30">
        <v>21</v>
      </c>
      <c r="C30">
        <v>329</v>
      </c>
      <c r="D30" s="22">
        <v>0.01</v>
      </c>
      <c r="E30" s="22">
        <v>0.05</v>
      </c>
      <c r="F30" s="15">
        <f t="shared" si="3"/>
        <v>6.0000000000000005E-2</v>
      </c>
      <c r="G30">
        <f t="shared" si="0"/>
        <v>427.7</v>
      </c>
      <c r="H30" s="16">
        <f t="shared" si="1"/>
        <v>7.128333333333333</v>
      </c>
      <c r="I30" s="17">
        <f t="shared" si="2"/>
        <v>1.6449999999999996</v>
      </c>
      <c r="J30" s="17">
        <f t="shared" si="4"/>
        <v>0.27416666666666667</v>
      </c>
      <c r="K30" s="17">
        <f t="shared" si="5"/>
        <v>1.3708333333333333</v>
      </c>
      <c r="L30" s="15">
        <f t="shared" si="6"/>
        <v>0.19230769230769232</v>
      </c>
      <c r="N30" s="17">
        <f t="shared" si="7"/>
        <v>1.645</v>
      </c>
      <c r="O30" s="17">
        <f t="shared" si="8"/>
        <v>0</v>
      </c>
      <c r="Q30" s="17">
        <f t="shared" si="9"/>
        <v>0.68541666666666667</v>
      </c>
      <c r="R30" s="17">
        <f t="shared" si="10"/>
        <v>0.27416666666666667</v>
      </c>
      <c r="S30" s="17">
        <f t="shared" si="11"/>
        <v>6.4429166666666671</v>
      </c>
      <c r="T30" s="17">
        <f t="shared" si="12"/>
        <v>6.4429166666666662</v>
      </c>
      <c r="U30" s="17">
        <f t="shared" si="13"/>
        <v>0</v>
      </c>
      <c r="V30" s="17">
        <f t="shared" si="14"/>
        <v>386.57500000000005</v>
      </c>
    </row>
    <row r="31" spans="2:22" x14ac:dyDescent="0.15">
      <c r="B31">
        <v>22</v>
      </c>
      <c r="C31">
        <v>961</v>
      </c>
      <c r="D31" s="22">
        <v>0.01</v>
      </c>
      <c r="E31" s="22">
        <v>0.06</v>
      </c>
      <c r="F31" s="15">
        <f t="shared" si="3"/>
        <v>6.9999999999999993E-2</v>
      </c>
      <c r="G31">
        <f t="shared" si="0"/>
        <v>1297.3500000000001</v>
      </c>
      <c r="H31" s="16">
        <f t="shared" si="1"/>
        <v>21.622500000000002</v>
      </c>
      <c r="I31" s="17">
        <f t="shared" si="2"/>
        <v>5.6058333333333366</v>
      </c>
      <c r="J31" s="17">
        <f t="shared" si="4"/>
        <v>0.80083333333333329</v>
      </c>
      <c r="K31" s="17">
        <f t="shared" si="5"/>
        <v>4.8049999999999997</v>
      </c>
      <c r="L31" s="15">
        <f t="shared" si="6"/>
        <v>0.22222222222222218</v>
      </c>
      <c r="N31" s="17">
        <f t="shared" si="7"/>
        <v>5.605833333333333</v>
      </c>
      <c r="O31" s="17">
        <f t="shared" si="8"/>
        <v>0</v>
      </c>
      <c r="Q31" s="17">
        <f t="shared" si="9"/>
        <v>2.4024999999999999</v>
      </c>
      <c r="R31" s="17">
        <f t="shared" si="10"/>
        <v>0.80083333333333329</v>
      </c>
      <c r="S31" s="17">
        <f t="shared" si="11"/>
        <v>19.22</v>
      </c>
      <c r="T31" s="17">
        <f t="shared" si="12"/>
        <v>19.220000000000002</v>
      </c>
      <c r="U31" s="17">
        <f t="shared" si="13"/>
        <v>0</v>
      </c>
      <c r="V31" s="17">
        <f t="shared" si="14"/>
        <v>1153.1999999999998</v>
      </c>
    </row>
    <row r="32" spans="2:22" x14ac:dyDescent="0.15">
      <c r="B32">
        <v>23</v>
      </c>
      <c r="C32">
        <v>458</v>
      </c>
      <c r="D32" s="22">
        <v>0.01</v>
      </c>
      <c r="E32" s="22">
        <v>0</v>
      </c>
      <c r="F32" s="15">
        <f t="shared" si="3"/>
        <v>0.01</v>
      </c>
      <c r="G32">
        <f t="shared" si="0"/>
        <v>480.90000000000003</v>
      </c>
      <c r="H32" s="16">
        <f t="shared" si="1"/>
        <v>8.0150000000000006</v>
      </c>
      <c r="I32" s="17">
        <f t="shared" si="2"/>
        <v>0.38166666666666771</v>
      </c>
      <c r="J32" s="17">
        <f t="shared" si="4"/>
        <v>0.38166666666666665</v>
      </c>
      <c r="K32" s="17">
        <f t="shared" si="5"/>
        <v>0</v>
      </c>
      <c r="L32" s="15">
        <f t="shared" si="6"/>
        <v>0</v>
      </c>
      <c r="N32" s="17">
        <f t="shared" si="7"/>
        <v>0.38166666666666665</v>
      </c>
      <c r="O32" s="17">
        <f t="shared" si="8"/>
        <v>-1.0547118733938987E-15</v>
      </c>
      <c r="Q32" s="17">
        <f t="shared" si="9"/>
        <v>0</v>
      </c>
      <c r="R32" s="17">
        <f t="shared" si="10"/>
        <v>0.38166666666666665</v>
      </c>
      <c r="S32" s="17">
        <f t="shared" si="11"/>
        <v>8.0149999999999988</v>
      </c>
      <c r="T32" s="17">
        <f t="shared" si="12"/>
        <v>8.0150000000000006</v>
      </c>
      <c r="U32" s="17">
        <f t="shared" si="13"/>
        <v>0</v>
      </c>
      <c r="V32" s="17">
        <f t="shared" si="14"/>
        <v>480.9</v>
      </c>
    </row>
    <row r="33" spans="2:22" x14ac:dyDescent="0.15">
      <c r="B33">
        <v>24</v>
      </c>
      <c r="C33">
        <v>705</v>
      </c>
      <c r="D33" s="22">
        <v>0.01</v>
      </c>
      <c r="E33" s="22">
        <v>0</v>
      </c>
      <c r="F33" s="15">
        <f t="shared" si="3"/>
        <v>0.01</v>
      </c>
      <c r="G33">
        <f t="shared" si="0"/>
        <v>740.25</v>
      </c>
      <c r="H33" s="16">
        <f t="shared" si="1"/>
        <v>12.3375</v>
      </c>
      <c r="I33" s="17">
        <f t="shared" si="2"/>
        <v>0.58750000000000036</v>
      </c>
      <c r="J33" s="17">
        <f t="shared" si="4"/>
        <v>0.58750000000000002</v>
      </c>
      <c r="K33" s="17">
        <f t="shared" si="5"/>
        <v>0</v>
      </c>
      <c r="L33" s="15">
        <f t="shared" si="6"/>
        <v>0</v>
      </c>
      <c r="N33" s="17">
        <f t="shared" si="7"/>
        <v>0.58750000000000002</v>
      </c>
      <c r="O33" s="17">
        <f t="shared" si="8"/>
        <v>0</v>
      </c>
      <c r="Q33" s="17">
        <f t="shared" si="9"/>
        <v>0</v>
      </c>
      <c r="R33" s="17">
        <f t="shared" si="10"/>
        <v>0.58750000000000002</v>
      </c>
      <c r="S33" s="17">
        <f t="shared" si="11"/>
        <v>12.3375</v>
      </c>
      <c r="T33" s="17">
        <f t="shared" si="12"/>
        <v>12.3375</v>
      </c>
      <c r="U33" s="17">
        <f t="shared" si="13"/>
        <v>0</v>
      </c>
      <c r="V33" s="17">
        <f t="shared" si="14"/>
        <v>740.25</v>
      </c>
    </row>
    <row r="34" spans="2:22" x14ac:dyDescent="0.15">
      <c r="B34">
        <v>25</v>
      </c>
      <c r="C34">
        <v>778</v>
      </c>
      <c r="D34" s="22">
        <v>0.01</v>
      </c>
      <c r="E34" s="22">
        <v>0.09</v>
      </c>
      <c r="F34" s="15">
        <f t="shared" si="3"/>
        <v>9.9999999999999992E-2</v>
      </c>
      <c r="G34">
        <f t="shared" si="0"/>
        <v>1167</v>
      </c>
      <c r="H34" s="16">
        <f t="shared" si="1"/>
        <v>19.45</v>
      </c>
      <c r="I34" s="17">
        <f t="shared" si="2"/>
        <v>6.4833333333333343</v>
      </c>
      <c r="J34" s="17">
        <f t="shared" si="4"/>
        <v>0.64833333333333332</v>
      </c>
      <c r="K34" s="17">
        <f t="shared" si="5"/>
        <v>5.835</v>
      </c>
      <c r="L34" s="15">
        <f t="shared" si="6"/>
        <v>0.3</v>
      </c>
      <c r="N34" s="17">
        <f t="shared" si="7"/>
        <v>6.4833333333333334</v>
      </c>
      <c r="O34" s="17">
        <f t="shared" si="8"/>
        <v>0</v>
      </c>
      <c r="Q34" s="17">
        <f t="shared" si="9"/>
        <v>2.9175</v>
      </c>
      <c r="R34" s="17">
        <f t="shared" si="10"/>
        <v>0.64833333333333332</v>
      </c>
      <c r="S34" s="17">
        <f t="shared" si="11"/>
        <v>16.532499999999999</v>
      </c>
      <c r="T34" s="17">
        <f t="shared" si="12"/>
        <v>16.532499999999999</v>
      </c>
      <c r="U34" s="17">
        <f t="shared" si="13"/>
        <v>0</v>
      </c>
      <c r="V34" s="17">
        <f t="shared" si="14"/>
        <v>991.94999999999993</v>
      </c>
    </row>
    <row r="35" spans="2:22" x14ac:dyDescent="0.15">
      <c r="B35">
        <v>26</v>
      </c>
      <c r="C35">
        <v>632</v>
      </c>
      <c r="D35" s="22">
        <v>0.01</v>
      </c>
      <c r="E35" s="22">
        <v>0.05</v>
      </c>
      <c r="F35" s="15">
        <f t="shared" si="3"/>
        <v>6.0000000000000005E-2</v>
      </c>
      <c r="G35">
        <f t="shared" si="0"/>
        <v>821.6</v>
      </c>
      <c r="H35" s="16">
        <f t="shared" si="1"/>
        <v>13.693333333333333</v>
      </c>
      <c r="I35" s="17">
        <f t="shared" si="2"/>
        <v>3.16</v>
      </c>
      <c r="J35" s="17">
        <f t="shared" si="4"/>
        <v>0.52666666666666673</v>
      </c>
      <c r="K35" s="17">
        <f t="shared" si="5"/>
        <v>2.6333333333333333</v>
      </c>
      <c r="L35" s="15">
        <f t="shared" si="6"/>
        <v>0.19230769230769232</v>
      </c>
      <c r="N35" s="17">
        <f t="shared" si="7"/>
        <v>3.16</v>
      </c>
      <c r="O35" s="17">
        <f t="shared" si="8"/>
        <v>0</v>
      </c>
      <c r="Q35" s="17">
        <f t="shared" si="9"/>
        <v>1.3166666666666667</v>
      </c>
      <c r="R35" s="17">
        <f t="shared" si="10"/>
        <v>0.52666666666666673</v>
      </c>
      <c r="S35" s="17">
        <f t="shared" si="11"/>
        <v>12.376666666666667</v>
      </c>
      <c r="T35" s="17">
        <f t="shared" si="12"/>
        <v>12.376666666666667</v>
      </c>
      <c r="U35" s="17">
        <f t="shared" si="13"/>
        <v>0</v>
      </c>
      <c r="V35" s="17">
        <f t="shared" si="14"/>
        <v>742.6</v>
      </c>
    </row>
    <row r="36" spans="2:22" x14ac:dyDescent="0.15">
      <c r="B36">
        <v>27</v>
      </c>
      <c r="C36">
        <v>986</v>
      </c>
      <c r="D36" s="22">
        <v>0.01</v>
      </c>
      <c r="E36" s="22">
        <v>0.06</v>
      </c>
      <c r="F36" s="15">
        <f t="shared" si="3"/>
        <v>6.9999999999999993E-2</v>
      </c>
      <c r="G36">
        <f t="shared" si="0"/>
        <v>1331.1000000000001</v>
      </c>
      <c r="H36" s="16">
        <f t="shared" si="1"/>
        <v>22.185000000000002</v>
      </c>
      <c r="I36" s="17">
        <f t="shared" si="2"/>
        <v>5.7516666666666687</v>
      </c>
      <c r="J36" s="17">
        <f t="shared" si="4"/>
        <v>0.82166666666666666</v>
      </c>
      <c r="K36" s="17">
        <f t="shared" si="5"/>
        <v>4.93</v>
      </c>
      <c r="L36" s="15">
        <f t="shared" si="6"/>
        <v>0.22222222222222218</v>
      </c>
      <c r="N36" s="17">
        <f t="shared" si="7"/>
        <v>5.751666666666666</v>
      </c>
      <c r="O36" s="17">
        <f t="shared" si="8"/>
        <v>0</v>
      </c>
      <c r="Q36" s="17">
        <f t="shared" si="9"/>
        <v>2.4649999999999999</v>
      </c>
      <c r="R36" s="17">
        <f t="shared" si="10"/>
        <v>0.82166666666666666</v>
      </c>
      <c r="S36" s="17">
        <f t="shared" si="11"/>
        <v>19.72</v>
      </c>
      <c r="T36" s="17">
        <f t="shared" si="12"/>
        <v>19.720000000000002</v>
      </c>
      <c r="U36" s="17">
        <f t="shared" si="13"/>
        <v>0</v>
      </c>
      <c r="V36" s="17">
        <f t="shared" si="14"/>
        <v>1183.1999999999998</v>
      </c>
    </row>
    <row r="37" spans="2:22" x14ac:dyDescent="0.15">
      <c r="B37">
        <v>28</v>
      </c>
      <c r="C37">
        <v>255</v>
      </c>
      <c r="D37" s="22">
        <v>0.01</v>
      </c>
      <c r="E37" s="22">
        <v>0.1</v>
      </c>
      <c r="F37" s="15">
        <f t="shared" si="3"/>
        <v>0.11</v>
      </c>
      <c r="G37">
        <f t="shared" si="0"/>
        <v>395.25</v>
      </c>
      <c r="H37" s="16">
        <f t="shared" si="1"/>
        <v>6.5875000000000004</v>
      </c>
      <c r="I37" s="17">
        <f t="shared" si="2"/>
        <v>2.3375000000000004</v>
      </c>
      <c r="J37" s="17">
        <f t="shared" si="4"/>
        <v>0.21250000000000002</v>
      </c>
      <c r="K37" s="17">
        <f t="shared" si="5"/>
        <v>2.125</v>
      </c>
      <c r="L37" s="15">
        <f t="shared" si="6"/>
        <v>0.32258064516129031</v>
      </c>
      <c r="N37" s="17">
        <f t="shared" si="7"/>
        <v>2.3374999999999999</v>
      </c>
      <c r="O37" s="17">
        <f t="shared" si="8"/>
        <v>0</v>
      </c>
      <c r="Q37" s="17">
        <f t="shared" si="9"/>
        <v>1.0625</v>
      </c>
      <c r="R37" s="17">
        <f t="shared" si="10"/>
        <v>0.21250000000000002</v>
      </c>
      <c r="S37" s="17">
        <f t="shared" si="11"/>
        <v>5.5250000000000004</v>
      </c>
      <c r="T37" s="17">
        <f t="shared" si="12"/>
        <v>5.5250000000000004</v>
      </c>
      <c r="U37" s="17">
        <f t="shared" si="13"/>
        <v>0</v>
      </c>
      <c r="V37" s="17">
        <f t="shared" si="14"/>
        <v>331.5</v>
      </c>
    </row>
    <row r="38" spans="2:22" x14ac:dyDescent="0.15">
      <c r="B38">
        <v>29</v>
      </c>
      <c r="C38">
        <v>897</v>
      </c>
      <c r="D38" s="22">
        <v>0.01</v>
      </c>
      <c r="E38" s="22">
        <v>0.09</v>
      </c>
      <c r="F38" s="15">
        <f t="shared" si="3"/>
        <v>9.9999999999999992E-2</v>
      </c>
      <c r="G38">
        <f t="shared" si="0"/>
        <v>1345.5</v>
      </c>
      <c r="H38" s="16">
        <f t="shared" si="1"/>
        <v>22.425000000000001</v>
      </c>
      <c r="I38" s="17">
        <f t="shared" si="2"/>
        <v>7.4750000000000014</v>
      </c>
      <c r="J38" s="17">
        <f t="shared" si="4"/>
        <v>0.74750000000000005</v>
      </c>
      <c r="K38" s="17">
        <f t="shared" si="5"/>
        <v>6.7275</v>
      </c>
      <c r="L38" s="15">
        <f t="shared" si="6"/>
        <v>0.3</v>
      </c>
      <c r="N38" s="17">
        <f t="shared" si="7"/>
        <v>7.4749999999999996</v>
      </c>
      <c r="O38" s="17">
        <f t="shared" si="8"/>
        <v>0</v>
      </c>
      <c r="Q38" s="17">
        <f t="shared" si="9"/>
        <v>3.36375</v>
      </c>
      <c r="R38" s="17">
        <f t="shared" si="10"/>
        <v>0.74750000000000005</v>
      </c>
      <c r="S38" s="17">
        <f t="shared" si="11"/>
        <v>19.061250000000001</v>
      </c>
      <c r="T38" s="17">
        <f t="shared" si="12"/>
        <v>19.061249999999998</v>
      </c>
      <c r="U38" s="17">
        <f t="shared" si="13"/>
        <v>0</v>
      </c>
      <c r="V38" s="17">
        <f t="shared" si="14"/>
        <v>1143.6750000000002</v>
      </c>
    </row>
    <row r="39" spans="2:22" x14ac:dyDescent="0.15">
      <c r="B39">
        <v>30</v>
      </c>
      <c r="C39">
        <v>955</v>
      </c>
      <c r="D39" s="22">
        <v>0.01</v>
      </c>
      <c r="E39" s="22">
        <v>0.08</v>
      </c>
      <c r="F39" s="15">
        <f t="shared" si="3"/>
        <v>0.09</v>
      </c>
      <c r="G39">
        <f t="shared" si="0"/>
        <v>1384.75</v>
      </c>
      <c r="H39" s="16">
        <f t="shared" si="1"/>
        <v>23.079166666666666</v>
      </c>
      <c r="I39" s="17">
        <f t="shared" si="2"/>
        <v>7.1624999999999996</v>
      </c>
      <c r="J39" s="17">
        <f t="shared" si="4"/>
        <v>0.79583333333333339</v>
      </c>
      <c r="K39" s="17">
        <f t="shared" si="5"/>
        <v>6.3666666666666671</v>
      </c>
      <c r="L39" s="15">
        <f t="shared" si="6"/>
        <v>0.27586206896551729</v>
      </c>
      <c r="N39" s="17">
        <f t="shared" si="7"/>
        <v>7.1625000000000005</v>
      </c>
      <c r="O39" s="17">
        <f t="shared" si="8"/>
        <v>0</v>
      </c>
      <c r="Q39" s="17">
        <f t="shared" si="9"/>
        <v>3.1833333333333336</v>
      </c>
      <c r="R39" s="17">
        <f t="shared" si="10"/>
        <v>0.79583333333333339</v>
      </c>
      <c r="S39" s="17">
        <f t="shared" si="11"/>
        <v>19.895833333333332</v>
      </c>
      <c r="T39" s="17">
        <f t="shared" si="12"/>
        <v>19.895833333333336</v>
      </c>
      <c r="U39" s="17">
        <f t="shared" si="13"/>
        <v>0</v>
      </c>
      <c r="V39" s="17">
        <f t="shared" si="14"/>
        <v>1193.75</v>
      </c>
    </row>
    <row r="41" spans="2:22" x14ac:dyDescent="0.15">
      <c r="C41" s="19">
        <f>SUM(C10:C39)</f>
        <v>19021</v>
      </c>
    </row>
    <row r="42" spans="2:22" x14ac:dyDescent="0.15">
      <c r="C42" s="45">
        <f>AVERAGE(C10:C39)</f>
        <v>634.0333333333333</v>
      </c>
      <c r="D42">
        <f t="shared" ref="D42:L42" si="15">AVERAGE(D10:D39)</f>
        <v>1.0000000000000004E-2</v>
      </c>
      <c r="E42" s="37">
        <f t="shared" si="15"/>
        <v>6.4666666666666692E-2</v>
      </c>
      <c r="F42" s="15">
        <f t="shared" si="15"/>
        <v>7.4666666666666687E-2</v>
      </c>
      <c r="G42">
        <f t="shared" si="15"/>
        <v>872.98166666666657</v>
      </c>
      <c r="H42">
        <f t="shared" si="15"/>
        <v>14.549694444444443</v>
      </c>
      <c r="I42">
        <f t="shared" si="15"/>
        <v>3.9824722222222229</v>
      </c>
      <c r="J42">
        <f t="shared" si="15"/>
        <v>0.52836111111111117</v>
      </c>
      <c r="K42">
        <f t="shared" si="15"/>
        <v>3.454111111111112</v>
      </c>
      <c r="L42">
        <f t="shared" si="15"/>
        <v>0.2247621591114361</v>
      </c>
      <c r="S42" s="44">
        <f>AVERAGE(S10:S39)</f>
        <v>12.822638888888887</v>
      </c>
      <c r="T42" s="17"/>
      <c r="U42" s="17"/>
      <c r="V42" s="44">
        <f t="shared" ref="V42" si="16">AVERAGE(V10:V39)</f>
        <v>769.35833333333335</v>
      </c>
    </row>
    <row r="43" spans="2:22" x14ac:dyDescent="0.15">
      <c r="S43">
        <f>12*S42</f>
        <v>153.87166666666664</v>
      </c>
    </row>
    <row r="44" spans="2:22" ht="28" customHeight="1" x14ac:dyDescent="0.15">
      <c r="C44" s="20">
        <f>C41*100000</f>
        <v>1902100000</v>
      </c>
      <c r="H44" s="46" t="s">
        <v>152</v>
      </c>
      <c r="I44" s="46"/>
      <c r="K44" s="46" t="s">
        <v>147</v>
      </c>
      <c r="L44" s="46"/>
    </row>
    <row r="46" spans="2:22" ht="42" x14ac:dyDescent="0.15">
      <c r="E46" s="23" t="s">
        <v>134</v>
      </c>
      <c r="F46">
        <v>0.5</v>
      </c>
      <c r="H46" s="23" t="s">
        <v>131</v>
      </c>
      <c r="I46" s="17">
        <f>SUM(K10:K39)</f>
        <v>103.62333333333336</v>
      </c>
      <c r="O46" s="24" t="s">
        <v>185</v>
      </c>
      <c r="P46" s="24" t="s">
        <v>184</v>
      </c>
    </row>
    <row r="47" spans="2:22" ht="14" x14ac:dyDescent="0.15">
      <c r="E47" s="23" t="s">
        <v>130</v>
      </c>
      <c r="F47">
        <v>0.5</v>
      </c>
      <c r="H47" s="23" t="s">
        <v>132</v>
      </c>
      <c r="I47" s="16">
        <f>SUM(H10:H39)</f>
        <v>436.49083333333328</v>
      </c>
      <c r="K47" s="23" t="s">
        <v>150</v>
      </c>
      <c r="L47" s="17">
        <f>SUM(S10:S39)</f>
        <v>384.67916666666662</v>
      </c>
      <c r="N47" s="23" t="s">
        <v>183</v>
      </c>
      <c r="O47" s="45">
        <f>F46*I46</f>
        <v>51.811666666666682</v>
      </c>
      <c r="P47" s="45">
        <f>J59*J60*L47</f>
        <v>51.811666666666689</v>
      </c>
    </row>
    <row r="48" spans="2:22" x14ac:dyDescent="0.15">
      <c r="E48" s="23"/>
      <c r="H48" s="23"/>
      <c r="I48" s="15"/>
      <c r="K48" s="23"/>
      <c r="L48" s="25"/>
      <c r="O48" s="20"/>
    </row>
    <row r="49" spans="4:25" ht="28" x14ac:dyDescent="0.15">
      <c r="E49" t="s">
        <v>182</v>
      </c>
      <c r="F49" s="15">
        <f>J78/SUM(J70:N70)</f>
        <v>0.05</v>
      </c>
      <c r="H49" s="23"/>
      <c r="K49" s="23"/>
    </row>
    <row r="50" spans="4:25" x14ac:dyDescent="0.15">
      <c r="H50" s="23"/>
      <c r="K50" s="23"/>
    </row>
    <row r="51" spans="4:25" ht="14" x14ac:dyDescent="0.15">
      <c r="H51" s="23"/>
      <c r="K51" s="23"/>
      <c r="R51" s="23" t="s">
        <v>159</v>
      </c>
    </row>
    <row r="52" spans="4:25" x14ac:dyDescent="0.15">
      <c r="E52" s="29"/>
      <c r="F52" s="32"/>
      <c r="G52" s="32"/>
      <c r="H52">
        <f>H42*60</f>
        <v>872.98166666666657</v>
      </c>
      <c r="I52" s="23"/>
      <c r="J52" s="23"/>
      <c r="K52" s="23"/>
    </row>
    <row r="53" spans="4:25" ht="28" x14ac:dyDescent="0.15">
      <c r="E53" s="12"/>
      <c r="F53" s="12"/>
      <c r="J53" s="46" t="s">
        <v>154</v>
      </c>
      <c r="K53" s="46"/>
      <c r="L53" s="46"/>
      <c r="M53" s="46"/>
      <c r="N53" s="46"/>
      <c r="R53" s="24" t="s">
        <v>154</v>
      </c>
      <c r="S53" s="24" t="s">
        <v>194</v>
      </c>
      <c r="T53" s="24" t="s">
        <v>195</v>
      </c>
      <c r="U53" s="24" t="s">
        <v>161</v>
      </c>
      <c r="V53" s="24" t="s">
        <v>162</v>
      </c>
      <c r="W53" s="24" t="s">
        <v>160</v>
      </c>
      <c r="X53" s="24" t="s">
        <v>163</v>
      </c>
    </row>
    <row r="54" spans="4:25" ht="14" x14ac:dyDescent="0.15">
      <c r="D54" s="24"/>
      <c r="E54" s="11"/>
      <c r="F54" s="13"/>
      <c r="I54" s="23" t="s">
        <v>175</v>
      </c>
      <c r="J54" s="23">
        <v>1</v>
      </c>
      <c r="K54" s="23">
        <v>2</v>
      </c>
      <c r="L54" s="23">
        <v>3</v>
      </c>
      <c r="M54" s="23">
        <v>4</v>
      </c>
      <c r="N54" s="23">
        <v>5</v>
      </c>
      <c r="R54">
        <v>1</v>
      </c>
      <c r="S54" s="38">
        <v>2</v>
      </c>
      <c r="T54">
        <v>2</v>
      </c>
      <c r="U54" s="17">
        <f>S42</f>
        <v>12.822638888888887</v>
      </c>
      <c r="V54" s="19">
        <f>U54*T54*S54</f>
        <v>51.290555555555549</v>
      </c>
      <c r="W54" s="20">
        <f>J70</f>
        <v>621.74000000000024</v>
      </c>
      <c r="X54" s="39">
        <f>W54/V54</f>
        <v>12.121919781636217</v>
      </c>
    </row>
    <row r="55" spans="4:25" ht="14" x14ac:dyDescent="0.15">
      <c r="E55" s="11"/>
      <c r="F55" s="14"/>
      <c r="I55" t="s">
        <v>131</v>
      </c>
      <c r="J55" s="17">
        <f>I46</f>
        <v>103.62333333333336</v>
      </c>
      <c r="K55" s="17">
        <f t="shared" ref="K55:N64" si="17">J55</f>
        <v>103.62333333333336</v>
      </c>
      <c r="L55" s="17">
        <f t="shared" si="17"/>
        <v>103.62333333333336</v>
      </c>
      <c r="M55" s="17">
        <f t="shared" si="17"/>
        <v>103.62333333333336</v>
      </c>
      <c r="N55" s="17">
        <f t="shared" si="17"/>
        <v>103.62333333333336</v>
      </c>
      <c r="R55">
        <v>2</v>
      </c>
      <c r="S55" s="38">
        <v>5</v>
      </c>
      <c r="T55">
        <v>6</v>
      </c>
      <c r="U55" s="17">
        <f>U54</f>
        <v>12.822638888888887</v>
      </c>
      <c r="V55" s="19">
        <f>U55*T55*S55</f>
        <v>384.67916666666662</v>
      </c>
      <c r="W55" s="20">
        <f>J74+K70</f>
        <v>1088.0450000000005</v>
      </c>
      <c r="X55" s="39">
        <f>W55/V55</f>
        <v>2.8284479490484511</v>
      </c>
    </row>
    <row r="56" spans="4:25" ht="14" x14ac:dyDescent="0.15">
      <c r="I56" t="s">
        <v>132</v>
      </c>
      <c r="J56" s="17">
        <f>L47</f>
        <v>384.67916666666662</v>
      </c>
      <c r="K56" s="17">
        <f t="shared" si="17"/>
        <v>384.67916666666662</v>
      </c>
      <c r="L56" s="17">
        <f t="shared" si="17"/>
        <v>384.67916666666662</v>
      </c>
      <c r="M56" s="17">
        <f t="shared" si="17"/>
        <v>384.67916666666662</v>
      </c>
      <c r="N56" s="17">
        <f t="shared" si="17"/>
        <v>384.67916666666662</v>
      </c>
      <c r="O56" s="20"/>
      <c r="R56">
        <v>3</v>
      </c>
      <c r="S56" s="38">
        <v>20</v>
      </c>
      <c r="T56">
        <v>6</v>
      </c>
      <c r="U56" s="17">
        <f>U55</f>
        <v>12.822638888888887</v>
      </c>
      <c r="V56" s="19">
        <f>U56*T56*S56</f>
        <v>1538.7166666666665</v>
      </c>
      <c r="W56" s="20">
        <f>K74+L70</f>
        <v>1554.3500000000006</v>
      </c>
      <c r="X56" s="39">
        <f>W56/V56</f>
        <v>1.0101599818030182</v>
      </c>
    </row>
    <row r="57" spans="4:25" ht="14" x14ac:dyDescent="0.15">
      <c r="E57" s="10"/>
      <c r="F57" s="13"/>
      <c r="G57" s="19"/>
      <c r="I57" s="30" t="s">
        <v>167</v>
      </c>
      <c r="J57">
        <f>J55*12</f>
        <v>1243.4800000000005</v>
      </c>
      <c r="K57">
        <f t="shared" si="17"/>
        <v>1243.4800000000005</v>
      </c>
      <c r="L57">
        <f t="shared" si="17"/>
        <v>1243.4800000000005</v>
      </c>
      <c r="M57">
        <f t="shared" si="17"/>
        <v>1243.4800000000005</v>
      </c>
      <c r="N57">
        <f t="shared" si="17"/>
        <v>1243.4800000000005</v>
      </c>
    </row>
    <row r="58" spans="4:25" ht="14" x14ac:dyDescent="0.15">
      <c r="E58" s="10"/>
      <c r="F58" s="13"/>
      <c r="G58" s="19"/>
      <c r="I58" s="30" t="s">
        <v>168</v>
      </c>
      <c r="J58">
        <f>L47*12</f>
        <v>4616.1499999999996</v>
      </c>
      <c r="K58">
        <f t="shared" si="17"/>
        <v>4616.1499999999996</v>
      </c>
      <c r="L58">
        <f t="shared" si="17"/>
        <v>4616.1499999999996</v>
      </c>
      <c r="M58">
        <f t="shared" si="17"/>
        <v>4616.1499999999996</v>
      </c>
      <c r="N58">
        <f t="shared" si="17"/>
        <v>4616.1499999999996</v>
      </c>
    </row>
    <row r="59" spans="4:25" ht="14" x14ac:dyDescent="0.15">
      <c r="E59" s="10"/>
      <c r="F59" s="13"/>
      <c r="G59" s="20"/>
      <c r="I59" t="s">
        <v>129</v>
      </c>
      <c r="J59" s="25">
        <f>J55/J56</f>
        <v>0.26937599514747151</v>
      </c>
      <c r="K59" s="25">
        <f t="shared" si="17"/>
        <v>0.26937599514747151</v>
      </c>
      <c r="L59" s="25">
        <f t="shared" si="17"/>
        <v>0.26937599514747151</v>
      </c>
      <c r="M59" s="25">
        <f t="shared" si="17"/>
        <v>0.26937599514747151</v>
      </c>
      <c r="N59" s="25">
        <f t="shared" si="17"/>
        <v>0.26937599514747151</v>
      </c>
      <c r="T59" s="20"/>
    </row>
    <row r="60" spans="4:25" ht="14" x14ac:dyDescent="0.15">
      <c r="E60" s="10"/>
      <c r="F60" s="13"/>
      <c r="G60" s="20"/>
      <c r="I60" t="s">
        <v>176</v>
      </c>
      <c r="J60">
        <f>$F$46</f>
        <v>0.5</v>
      </c>
      <c r="K60">
        <f t="shared" si="17"/>
        <v>0.5</v>
      </c>
      <c r="L60">
        <f t="shared" si="17"/>
        <v>0.5</v>
      </c>
      <c r="M60">
        <f t="shared" si="17"/>
        <v>0.5</v>
      </c>
      <c r="N60">
        <f t="shared" si="17"/>
        <v>0.5</v>
      </c>
      <c r="T60" s="20"/>
    </row>
    <row r="61" spans="4:25" ht="28" x14ac:dyDescent="0.15">
      <c r="E61" s="10"/>
      <c r="F61" s="13"/>
      <c r="G61" s="15"/>
      <c r="I61" t="s">
        <v>171</v>
      </c>
      <c r="J61">
        <v>12</v>
      </c>
      <c r="K61">
        <f>J61</f>
        <v>12</v>
      </c>
      <c r="L61">
        <f t="shared" si="17"/>
        <v>12</v>
      </c>
      <c r="M61">
        <f t="shared" si="17"/>
        <v>12</v>
      </c>
      <c r="N61">
        <f t="shared" si="17"/>
        <v>12</v>
      </c>
      <c r="R61" t="s">
        <v>197</v>
      </c>
      <c r="S61" s="24" t="s">
        <v>194</v>
      </c>
      <c r="T61" s="24" t="s">
        <v>195</v>
      </c>
      <c r="U61" s="24" t="s">
        <v>161</v>
      </c>
      <c r="V61" s="24" t="s">
        <v>162</v>
      </c>
      <c r="W61" s="24" t="s">
        <v>160</v>
      </c>
      <c r="X61" s="24" t="s">
        <v>163</v>
      </c>
      <c r="Y61" s="24" t="s">
        <v>198</v>
      </c>
    </row>
    <row r="62" spans="4:25" ht="14" x14ac:dyDescent="0.15">
      <c r="E62" s="10"/>
      <c r="F62" s="13"/>
      <c r="I62" t="s">
        <v>133</v>
      </c>
      <c r="J62">
        <f>$F$46*J61</f>
        <v>6</v>
      </c>
      <c r="K62">
        <f>J62</f>
        <v>6</v>
      </c>
      <c r="L62">
        <f t="shared" si="17"/>
        <v>6</v>
      </c>
      <c r="M62">
        <f t="shared" si="17"/>
        <v>6</v>
      </c>
      <c r="N62">
        <f t="shared" si="17"/>
        <v>6</v>
      </c>
      <c r="S62" s="38">
        <v>1</v>
      </c>
      <c r="T62">
        <v>2</v>
      </c>
      <c r="U62" s="17">
        <f>S42</f>
        <v>12.822638888888887</v>
      </c>
      <c r="V62" s="19">
        <f>U62*T62*S62</f>
        <v>25.645277777777775</v>
      </c>
      <c r="W62" s="20">
        <f>J74+K70</f>
        <v>1088.0450000000005</v>
      </c>
      <c r="X62" s="39">
        <f>W62/V62</f>
        <v>42.426719235726765</v>
      </c>
      <c r="Y62" s="22">
        <f>IF(X62&gt;=1,100%,X62)</f>
        <v>1</v>
      </c>
    </row>
    <row r="63" spans="4:25" ht="14" x14ac:dyDescent="0.15">
      <c r="E63" s="10"/>
      <c r="F63" s="13"/>
      <c r="G63" s="21"/>
      <c r="I63" t="s">
        <v>134</v>
      </c>
      <c r="J63">
        <f>$F$46</f>
        <v>0.5</v>
      </c>
      <c r="K63">
        <f>J63</f>
        <v>0.5</v>
      </c>
      <c r="L63">
        <f t="shared" si="17"/>
        <v>0.5</v>
      </c>
      <c r="M63">
        <f t="shared" si="17"/>
        <v>0.5</v>
      </c>
      <c r="N63">
        <f t="shared" si="17"/>
        <v>0.5</v>
      </c>
      <c r="S63" s="38">
        <v>3</v>
      </c>
      <c r="T63">
        <v>3</v>
      </c>
      <c r="U63" s="17">
        <f>U62</f>
        <v>12.822638888888887</v>
      </c>
      <c r="V63" s="19">
        <f t="shared" ref="V63:V66" si="18">U63*T63*S63</f>
        <v>115.40374999999997</v>
      </c>
      <c r="W63" s="20">
        <f>W62</f>
        <v>1088.0450000000005</v>
      </c>
      <c r="X63" s="39">
        <f>W63/V63</f>
        <v>9.4281598301615048</v>
      </c>
      <c r="Y63" s="22">
        <f t="shared" ref="Y63:Y66" si="19">IF(X63&gt;=1,100%,X63)</f>
        <v>1</v>
      </c>
    </row>
    <row r="64" spans="4:25" ht="14" x14ac:dyDescent="0.15">
      <c r="E64" s="10"/>
      <c r="F64" s="13"/>
      <c r="I64" s="42" t="s">
        <v>130</v>
      </c>
      <c r="J64" s="42">
        <v>0.75</v>
      </c>
      <c r="K64" s="42">
        <f>J64</f>
        <v>0.75</v>
      </c>
      <c r="L64" s="42">
        <f t="shared" si="17"/>
        <v>0.75</v>
      </c>
      <c r="M64" s="42">
        <f t="shared" si="17"/>
        <v>0.75</v>
      </c>
      <c r="N64" s="42">
        <f t="shared" si="17"/>
        <v>0.75</v>
      </c>
      <c r="S64" s="38">
        <v>5</v>
      </c>
      <c r="T64">
        <v>6</v>
      </c>
      <c r="U64" s="17">
        <f t="shared" ref="U64:U65" si="20">U63</f>
        <v>12.822638888888887</v>
      </c>
      <c r="V64" s="19">
        <f t="shared" si="18"/>
        <v>384.67916666666662</v>
      </c>
      <c r="W64" s="20">
        <f t="shared" ref="W64:W65" si="21">W63</f>
        <v>1088.0450000000005</v>
      </c>
      <c r="X64" s="39">
        <f>W64/V64</f>
        <v>2.8284479490484511</v>
      </c>
      <c r="Y64" s="22">
        <f t="shared" si="19"/>
        <v>1</v>
      </c>
    </row>
    <row r="65" spans="1:25" ht="28" x14ac:dyDescent="0.15">
      <c r="E65" s="10"/>
      <c r="F65" s="13"/>
      <c r="G65" s="20"/>
      <c r="I65" s="30" t="s">
        <v>165</v>
      </c>
      <c r="J65" s="17">
        <f>$S$42</f>
        <v>12.822638888888887</v>
      </c>
      <c r="K65" s="17">
        <f>J65</f>
        <v>12.822638888888887</v>
      </c>
      <c r="L65" s="17">
        <f>K65</f>
        <v>12.822638888888887</v>
      </c>
      <c r="M65" s="17">
        <f>L65</f>
        <v>12.822638888888887</v>
      </c>
      <c r="N65" s="17">
        <f>M65</f>
        <v>12.822638888888887</v>
      </c>
      <c r="S65">
        <v>10</v>
      </c>
      <c r="T65">
        <v>10</v>
      </c>
      <c r="U65" s="17">
        <f t="shared" si="20"/>
        <v>12.822638888888887</v>
      </c>
      <c r="V65" s="19">
        <f t="shared" si="18"/>
        <v>1282.2638888888887</v>
      </c>
      <c r="W65" s="20">
        <f t="shared" si="21"/>
        <v>1088.0450000000005</v>
      </c>
      <c r="X65" s="39">
        <f t="shared" ref="X65:X66" si="22">W65/V65</f>
        <v>0.84853438471453535</v>
      </c>
      <c r="Y65" s="22">
        <f t="shared" si="19"/>
        <v>0.84853438471453535</v>
      </c>
    </row>
    <row r="66" spans="1:25" x14ac:dyDescent="0.15">
      <c r="F66" s="13"/>
      <c r="G66" s="20"/>
      <c r="O66" s="20"/>
      <c r="P66" s="15"/>
      <c r="S66">
        <v>30</v>
      </c>
      <c r="T66">
        <v>12</v>
      </c>
      <c r="U66" s="17">
        <f t="shared" ref="U66" si="23">U65</f>
        <v>12.822638888888887</v>
      </c>
      <c r="V66" s="19">
        <f t="shared" si="18"/>
        <v>4616.1499999999996</v>
      </c>
      <c r="W66" s="20">
        <f t="shared" ref="W66" si="24">W65</f>
        <v>1088.0450000000005</v>
      </c>
      <c r="X66" s="39">
        <f t="shared" si="22"/>
        <v>0.23570399575403758</v>
      </c>
      <c r="Y66" s="22">
        <f t="shared" si="19"/>
        <v>0.23570399575403758</v>
      </c>
    </row>
    <row r="67" spans="1:25" x14ac:dyDescent="0.15">
      <c r="F67" s="13"/>
      <c r="G67" s="20"/>
      <c r="O67" s="20"/>
    </row>
    <row r="68" spans="1:25" ht="14" x14ac:dyDescent="0.15">
      <c r="F68" s="13"/>
      <c r="G68" s="20"/>
      <c r="I68" s="23" t="s">
        <v>156</v>
      </c>
      <c r="J68" s="23">
        <v>1</v>
      </c>
      <c r="K68" s="23">
        <v>2</v>
      </c>
      <c r="L68" s="23">
        <v>3</v>
      </c>
      <c r="M68" s="23">
        <v>4</v>
      </c>
      <c r="N68" s="23">
        <v>5</v>
      </c>
    </row>
    <row r="69" spans="1:25" x14ac:dyDescent="0.15">
      <c r="F69" s="13"/>
      <c r="G69" s="15"/>
    </row>
    <row r="70" spans="1:25" ht="14" x14ac:dyDescent="0.15">
      <c r="F70" s="22"/>
      <c r="I70" s="24" t="s">
        <v>157</v>
      </c>
      <c r="J70" s="20">
        <f>J63*J61*J55</f>
        <v>621.74000000000024</v>
      </c>
      <c r="K70" s="20">
        <f>K63*K61*K55</f>
        <v>621.74000000000024</v>
      </c>
      <c r="L70" s="20">
        <f>L63*L61*L55</f>
        <v>621.74000000000024</v>
      </c>
      <c r="M70" s="20">
        <f>M63*M61*M55</f>
        <v>621.74000000000024</v>
      </c>
      <c r="N70" s="20">
        <f>N63*N61*N55</f>
        <v>621.74000000000024</v>
      </c>
    </row>
    <row r="71" spans="1:25" ht="14" x14ac:dyDescent="0.15">
      <c r="F71" s="20"/>
      <c r="I71" s="24" t="s">
        <v>180</v>
      </c>
      <c r="J71" s="20">
        <f>J59*J62*J56</f>
        <v>621.74000000000024</v>
      </c>
      <c r="K71" s="20">
        <f>K59*K62*K56</f>
        <v>621.74000000000024</v>
      </c>
      <c r="L71" s="20">
        <f>L59*L62*L56</f>
        <v>621.74000000000024</v>
      </c>
      <c r="M71" s="20">
        <f>M59*M62*M56</f>
        <v>621.74000000000024</v>
      </c>
      <c r="N71" s="20">
        <f>N59*N62*N56</f>
        <v>621.74000000000024</v>
      </c>
    </row>
    <row r="73" spans="1:25" ht="14" x14ac:dyDescent="0.15">
      <c r="I73" s="24" t="s">
        <v>158</v>
      </c>
      <c r="J73" s="17">
        <f>J64*J71</f>
        <v>466.30500000000018</v>
      </c>
      <c r="K73" s="17">
        <f t="shared" ref="K73:N73" si="25">K64*K71</f>
        <v>466.30500000000018</v>
      </c>
      <c r="L73" s="17">
        <f t="shared" si="25"/>
        <v>466.30500000000018</v>
      </c>
      <c r="M73" s="17">
        <f t="shared" si="25"/>
        <v>466.30500000000018</v>
      </c>
      <c r="N73" s="17">
        <f t="shared" si="25"/>
        <v>466.30500000000018</v>
      </c>
    </row>
    <row r="74" spans="1:25" ht="14" x14ac:dyDescent="0.15">
      <c r="A74" s="10"/>
      <c r="I74" s="24" t="s">
        <v>172</v>
      </c>
      <c r="J74" s="17">
        <f>J73</f>
        <v>466.30500000000018</v>
      </c>
      <c r="K74" s="19">
        <f>K73+J74</f>
        <v>932.61000000000035</v>
      </c>
      <c r="L74" s="19">
        <f>L73+K74</f>
        <v>1398.9150000000004</v>
      </c>
      <c r="M74" s="19">
        <f>M73+L74</f>
        <v>1865.2200000000007</v>
      </c>
      <c r="N74" s="19">
        <f>N73+M74</f>
        <v>2331.525000000001</v>
      </c>
    </row>
    <row r="75" spans="1:25" x14ac:dyDescent="0.15">
      <c r="P75" s="24"/>
    </row>
    <row r="76" spans="1:25" ht="28" x14ac:dyDescent="0.15">
      <c r="E76" s="11"/>
      <c r="I76" s="30" t="s">
        <v>181</v>
      </c>
      <c r="J76" s="19">
        <f>J70</f>
        <v>621.74000000000024</v>
      </c>
      <c r="K76" s="19">
        <f>K70+J74</f>
        <v>1088.0450000000005</v>
      </c>
      <c r="L76" s="19">
        <f>L70+K74</f>
        <v>1554.3500000000006</v>
      </c>
      <c r="M76" s="19">
        <f>M70+L74</f>
        <v>2020.6550000000007</v>
      </c>
      <c r="N76" s="19">
        <f>N70+M74</f>
        <v>2486.9600000000009</v>
      </c>
    </row>
    <row r="78" spans="1:25" ht="14" x14ac:dyDescent="0.15">
      <c r="I78" t="s">
        <v>145</v>
      </c>
      <c r="J78" s="20">
        <f>J71-J73</f>
        <v>155.43500000000006</v>
      </c>
      <c r="K78" s="20">
        <f>K71-K73</f>
        <v>155.43500000000006</v>
      </c>
      <c r="L78" s="20">
        <f>L71-L73</f>
        <v>155.43500000000006</v>
      </c>
      <c r="M78" s="20">
        <f>M71-M73</f>
        <v>155.43500000000006</v>
      </c>
      <c r="N78" s="20">
        <f>N71-N73</f>
        <v>155.43500000000006</v>
      </c>
    </row>
    <row r="79" spans="1:25" ht="28" x14ac:dyDescent="0.15">
      <c r="I79" t="s">
        <v>186</v>
      </c>
      <c r="J79" s="20">
        <f>J78/30</f>
        <v>5.1811666666666687</v>
      </c>
      <c r="K79" s="20">
        <f t="shared" ref="K79:N79" si="26">K78/30</f>
        <v>5.1811666666666687</v>
      </c>
      <c r="L79" s="20">
        <f t="shared" si="26"/>
        <v>5.1811666666666687</v>
      </c>
      <c r="M79" s="20">
        <f t="shared" si="26"/>
        <v>5.1811666666666687</v>
      </c>
      <c r="N79" s="20">
        <f t="shared" si="26"/>
        <v>5.1811666666666687</v>
      </c>
    </row>
    <row r="80" spans="1:25" ht="14" x14ac:dyDescent="0.15">
      <c r="D80" s="11" t="s">
        <v>177</v>
      </c>
      <c r="I80" t="s">
        <v>173</v>
      </c>
      <c r="J80" s="15">
        <f>J78/J70</f>
        <v>0.25</v>
      </c>
      <c r="K80" s="15">
        <f>K78/K70</f>
        <v>0.25</v>
      </c>
      <c r="L80" s="15">
        <f>L78/L70</f>
        <v>0.25</v>
      </c>
      <c r="M80" s="15">
        <f>M78/M70</f>
        <v>0.25</v>
      </c>
      <c r="N80" s="15">
        <f>N78/N70</f>
        <v>0.25</v>
      </c>
    </row>
    <row r="81" spans="4:34" x14ac:dyDescent="0.15">
      <c r="D81" s="11" t="s">
        <v>178</v>
      </c>
    </row>
    <row r="82" spans="4:34" ht="28" x14ac:dyDescent="0.15">
      <c r="D82" s="11" t="s">
        <v>179</v>
      </c>
      <c r="I82" s="31" t="s">
        <v>193</v>
      </c>
      <c r="J82" s="20">
        <f>J76</f>
        <v>621.74000000000024</v>
      </c>
      <c r="K82" s="20">
        <f>K76</f>
        <v>1088.0450000000005</v>
      </c>
      <c r="L82" s="20">
        <f>L76</f>
        <v>1554.3500000000006</v>
      </c>
      <c r="M82" s="20">
        <f>M76</f>
        <v>2020.6550000000007</v>
      </c>
      <c r="N82" s="20">
        <f>N76</f>
        <v>2486.9600000000009</v>
      </c>
    </row>
    <row r="83" spans="4:34" ht="14" x14ac:dyDescent="0.15">
      <c r="I83" s="33" t="s">
        <v>155</v>
      </c>
      <c r="J83" s="34">
        <f>J82/(J60 * J58)</f>
        <v>0.26937599514747151</v>
      </c>
      <c r="K83" s="34">
        <f>K82/(K60 * K58)</f>
        <v>0.47140799150807516</v>
      </c>
      <c r="L83" s="34">
        <f>L82/(L60 * L58)</f>
        <v>0.67343998786867876</v>
      </c>
      <c r="M83" s="34">
        <f>M82/(M60 * M58)</f>
        <v>0.8754719842292823</v>
      </c>
      <c r="N83" s="34">
        <f>N82/(N60 * N58)</f>
        <v>1.0775039805898861</v>
      </c>
    </row>
    <row r="85" spans="4:34" x14ac:dyDescent="0.15">
      <c r="R85" s="12"/>
    </row>
    <row r="86" spans="4:34" ht="28" x14ac:dyDescent="0.15">
      <c r="I86" s="30" t="s">
        <v>174</v>
      </c>
      <c r="J86" s="17">
        <f>J76/J62/J65</f>
        <v>8.081279854424146</v>
      </c>
      <c r="K86" s="17">
        <f>K76/K62/K65</f>
        <v>14.142239745242255</v>
      </c>
      <c r="L86" s="17">
        <f>L76/L62/L65</f>
        <v>20.203199636060365</v>
      </c>
      <c r="M86" s="17">
        <f>M76/M62/M65</f>
        <v>26.264159526878469</v>
      </c>
      <c r="N86" s="17">
        <f>N76/N62/N65</f>
        <v>32.325119417696584</v>
      </c>
    </row>
    <row r="87" spans="4:34" ht="14" x14ac:dyDescent="0.15">
      <c r="I87" s="30" t="s">
        <v>164</v>
      </c>
      <c r="J87" s="25">
        <f>J86/30</f>
        <v>0.26937599514747151</v>
      </c>
      <c r="K87" s="25">
        <f t="shared" ref="K87:N87" si="27">K86/30</f>
        <v>0.47140799150807516</v>
      </c>
      <c r="L87" s="25">
        <f t="shared" si="27"/>
        <v>0.67343998786867887</v>
      </c>
      <c r="M87" s="25">
        <f t="shared" si="27"/>
        <v>0.8754719842292823</v>
      </c>
      <c r="N87" s="25">
        <f t="shared" si="27"/>
        <v>1.0775039805898861</v>
      </c>
      <c r="R87" s="24"/>
      <c r="S87" s="20"/>
    </row>
    <row r="88" spans="4:34" ht="14" x14ac:dyDescent="0.15">
      <c r="I88" s="30" t="s">
        <v>166</v>
      </c>
      <c r="J88" s="17">
        <f>J87*J56</f>
        <v>103.62333333333338</v>
      </c>
      <c r="K88" s="17">
        <f>K87*K56</f>
        <v>181.34083333333342</v>
      </c>
      <c r="L88" s="17">
        <f>L87*L56</f>
        <v>259.05833333333345</v>
      </c>
      <c r="M88" s="17">
        <f>M87*M56</f>
        <v>336.77583333333342</v>
      </c>
      <c r="N88" s="17">
        <f>N87*N56</f>
        <v>414.49333333333351</v>
      </c>
      <c r="S88" s="20"/>
    </row>
    <row r="89" spans="4:34" x14ac:dyDescent="0.15">
      <c r="S89" s="20"/>
    </row>
    <row r="90" spans="4:34" ht="28" x14ac:dyDescent="0.15">
      <c r="I90" s="24" t="s">
        <v>169</v>
      </c>
      <c r="J90" s="20">
        <f>(J82/12)/J60</f>
        <v>103.62333333333338</v>
      </c>
      <c r="K90" s="20">
        <f>(K82/12)/K60</f>
        <v>181.34083333333342</v>
      </c>
      <c r="L90" s="20">
        <f>(L82/12)/L60</f>
        <v>259.05833333333345</v>
      </c>
      <c r="M90" s="20">
        <f>(M82/12)/M60</f>
        <v>336.77583333333342</v>
      </c>
      <c r="N90" s="20">
        <f>(N82/12)/N60</f>
        <v>414.49333333333351</v>
      </c>
      <c r="S90" s="27"/>
    </row>
    <row r="91" spans="4:34" ht="28" x14ac:dyDescent="0.15">
      <c r="I91" s="24" t="s">
        <v>170</v>
      </c>
      <c r="J91" s="25">
        <f>J76/(J58*J60)</f>
        <v>0.26937599514747151</v>
      </c>
      <c r="K91" s="25">
        <f>K76/(K58*K60)</f>
        <v>0.47140799150807516</v>
      </c>
      <c r="L91" s="25">
        <f>L76/(L58*L60)</f>
        <v>0.67343998786867876</v>
      </c>
      <c r="M91" s="25">
        <f>M76/(M58*M60)</f>
        <v>0.8754719842292823</v>
      </c>
      <c r="N91" s="25">
        <f>N76/(N58*N60)</f>
        <v>1.0775039805898861</v>
      </c>
      <c r="S91" s="20"/>
    </row>
    <row r="92" spans="4:34" x14ac:dyDescent="0.15">
      <c r="J92" s="28">
        <f>J91-J83</f>
        <v>0</v>
      </c>
      <c r="K92" s="28">
        <f>K91-K83</f>
        <v>0</v>
      </c>
      <c r="L92" s="28">
        <f>L91-L83</f>
        <v>0</v>
      </c>
      <c r="M92" s="28">
        <f>M91-M83</f>
        <v>0</v>
      </c>
      <c r="N92" s="28">
        <f>N91-N83</f>
        <v>0</v>
      </c>
      <c r="S92" s="20"/>
    </row>
    <row r="93" spans="4:34" x14ac:dyDescent="0.15">
      <c r="J93" s="28">
        <f>J90-J88</f>
        <v>0</v>
      </c>
      <c r="K93" s="28">
        <f>K90-K88</f>
        <v>0</v>
      </c>
      <c r="L93" s="28">
        <f>L90-L88</f>
        <v>0</v>
      </c>
      <c r="M93" s="28">
        <f>M90-M88</f>
        <v>0</v>
      </c>
      <c r="N93" s="28">
        <f>N90-N88</f>
        <v>0</v>
      </c>
      <c r="S93" s="20"/>
      <c r="V93" s="17"/>
    </row>
    <row r="94" spans="4:34" x14ac:dyDescent="0.15">
      <c r="S94" s="20"/>
      <c r="AD94" s="23"/>
      <c r="AE94" s="23"/>
      <c r="AF94" s="23"/>
      <c r="AG94" s="23"/>
      <c r="AH94" s="23"/>
    </row>
    <row r="95" spans="4:34" ht="14" x14ac:dyDescent="0.15">
      <c r="I95" s="24" t="s">
        <v>187</v>
      </c>
      <c r="J95">
        <f>MIN(J74,J60*J58-J63*J57)</f>
        <v>466.30500000000018</v>
      </c>
      <c r="K95">
        <f>MIN(K74,(K60*K58)-(K63*K57))</f>
        <v>932.61000000000035</v>
      </c>
      <c r="L95">
        <f>MIN(L74,(L60*L58)-(L63*L57))</f>
        <v>1398.9150000000004</v>
      </c>
      <c r="M95">
        <f>MIN(M74,(M60*M58)-(M63*M57))</f>
        <v>1686.3349999999996</v>
      </c>
      <c r="N95">
        <f>MIN(N74,(N60*N58)-(N63*N57))</f>
        <v>1686.3349999999996</v>
      </c>
      <c r="R95" s="24"/>
      <c r="S95" s="22"/>
      <c r="AH95" s="23"/>
    </row>
    <row r="96" spans="4:34" ht="28" x14ac:dyDescent="0.15">
      <c r="I96" s="24" t="s">
        <v>189</v>
      </c>
      <c r="J96" s="35">
        <f>J70</f>
        <v>621.74000000000024</v>
      </c>
      <c r="K96" s="20">
        <f>J95+K70</f>
        <v>1088.0450000000005</v>
      </c>
      <c r="L96" s="20">
        <f>K95+L70</f>
        <v>1554.3500000000006</v>
      </c>
      <c r="M96" s="20">
        <f>L95+M70</f>
        <v>2020.6550000000007</v>
      </c>
      <c r="N96" s="20">
        <f>M95+N70</f>
        <v>2308.0749999999998</v>
      </c>
    </row>
    <row r="97" spans="9:34" ht="14" x14ac:dyDescent="0.15">
      <c r="I97" s="36" t="s">
        <v>188</v>
      </c>
      <c r="J97" s="37">
        <f>J96/(J60*J58)</f>
        <v>0.26937599514747151</v>
      </c>
      <c r="K97" s="37">
        <f>K96/(K60*K58)</f>
        <v>0.47140799150807516</v>
      </c>
      <c r="L97" s="37">
        <f>L96/(L60*L58)</f>
        <v>0.67343998786867876</v>
      </c>
      <c r="M97" s="37">
        <f>M96/(M60*M58)</f>
        <v>0.8754719842292823</v>
      </c>
      <c r="N97" s="37">
        <f>N96/(N60*N58)</f>
        <v>1</v>
      </c>
    </row>
    <row r="98" spans="9:34" x14ac:dyDescent="0.15">
      <c r="S98" s="20"/>
    </row>
    <row r="99" spans="9:34" ht="14" x14ac:dyDescent="0.15">
      <c r="I99" t="s">
        <v>190</v>
      </c>
      <c r="J99" s="17">
        <f>J74-J95</f>
        <v>0</v>
      </c>
      <c r="K99" s="17">
        <f>J74-J95</f>
        <v>0</v>
      </c>
      <c r="L99" s="17">
        <f t="shared" ref="L99:N99" si="28">K74-K95</f>
        <v>0</v>
      </c>
      <c r="M99" s="17">
        <f t="shared" si="28"/>
        <v>0</v>
      </c>
      <c r="N99" s="17">
        <f t="shared" si="28"/>
        <v>178.88500000000113</v>
      </c>
      <c r="S99" s="20"/>
      <c r="AH99" s="17"/>
    </row>
    <row r="100" spans="9:34" ht="14" x14ac:dyDescent="0.15">
      <c r="I100" t="s">
        <v>191</v>
      </c>
      <c r="J100" s="20">
        <f>J78+J99</f>
        <v>155.43500000000006</v>
      </c>
      <c r="K100" s="20">
        <f t="shared" ref="K100:N100" si="29">K78+K99</f>
        <v>155.43500000000006</v>
      </c>
      <c r="L100" s="20">
        <f t="shared" si="29"/>
        <v>155.43500000000006</v>
      </c>
      <c r="M100" s="20">
        <f t="shared" si="29"/>
        <v>155.43500000000006</v>
      </c>
      <c r="N100" s="20">
        <f t="shared" si="29"/>
        <v>334.32000000000119</v>
      </c>
      <c r="S100" s="18"/>
      <c r="AH100" s="17"/>
    </row>
    <row r="101" spans="9:34" ht="28" x14ac:dyDescent="0.15">
      <c r="I101" t="s">
        <v>186</v>
      </c>
      <c r="J101" s="20">
        <f>J100/30</f>
        <v>5.1811666666666687</v>
      </c>
      <c r="K101" s="20">
        <f t="shared" ref="K101:N101" si="30">K100/30</f>
        <v>5.1811666666666687</v>
      </c>
      <c r="L101" s="20">
        <f t="shared" si="30"/>
        <v>5.1811666666666687</v>
      </c>
      <c r="M101" s="20">
        <f t="shared" si="30"/>
        <v>5.1811666666666687</v>
      </c>
      <c r="N101" s="20">
        <f t="shared" si="30"/>
        <v>11.144000000000039</v>
      </c>
      <c r="S101" s="15"/>
      <c r="AH101" s="17"/>
    </row>
    <row r="102" spans="9:34" ht="14" x14ac:dyDescent="0.15">
      <c r="I102" t="s">
        <v>192</v>
      </c>
      <c r="J102" s="15">
        <f>J100/J70</f>
        <v>0.25</v>
      </c>
      <c r="K102" s="15">
        <f t="shared" ref="K102:N102" si="31">K100/K70</f>
        <v>0.25</v>
      </c>
      <c r="L102" s="15">
        <f t="shared" si="31"/>
        <v>0.25</v>
      </c>
      <c r="M102" s="15">
        <f t="shared" si="31"/>
        <v>0.25</v>
      </c>
      <c r="N102" s="15">
        <f t="shared" si="31"/>
        <v>0.5377167304661129</v>
      </c>
      <c r="P102" s="18">
        <f>SUM(J102:N102)</f>
        <v>1.537716730466113</v>
      </c>
      <c r="S102" s="20"/>
      <c r="AH102" s="15"/>
    </row>
    <row r="103" spans="9:34" x14ac:dyDescent="0.15">
      <c r="J103" s="20"/>
      <c r="K103" s="20"/>
      <c r="L103" s="20"/>
      <c r="M103" s="20"/>
      <c r="N103" s="20"/>
      <c r="S103" s="20"/>
      <c r="AH103" s="17"/>
    </row>
    <row r="104" spans="9:34" x14ac:dyDescent="0.15">
      <c r="S104" s="15"/>
    </row>
    <row r="105" spans="9:34" x14ac:dyDescent="0.15">
      <c r="S105" s="26"/>
    </row>
  </sheetData>
  <mergeCells count="6">
    <mergeCell ref="J53:N53"/>
    <mergeCell ref="Q8:S8"/>
    <mergeCell ref="N9:O9"/>
    <mergeCell ref="T9:U9"/>
    <mergeCell ref="H44:I44"/>
    <mergeCell ref="K44:L44"/>
  </mergeCells>
  <pageMargins left="0.7" right="0.7" top="0.75" bottom="0.75" header="0.3" footer="0.3"/>
  <pageSetup paperSize="9" orientation="portrait" horizontalDpi="0" verticalDpi="0"/>
  <headerFooter>
    <oddHeader>&amp;L&amp;"Aptos"&amp;10&amp;K000000 Protected&amp;1#_x000D_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B9E3-1353-ED44-A15C-2B759C742969}">
  <dimension ref="A3:AH119"/>
  <sheetViews>
    <sheetView topLeftCell="I14" zoomScale="150" zoomScaleNormal="150" workbookViewId="0">
      <selection activeCell="Q10" sqref="Q10"/>
    </sheetView>
  </sheetViews>
  <sheetFormatPr baseColWidth="10" defaultColWidth="10.83203125" defaultRowHeight="13" x14ac:dyDescent="0.15"/>
  <cols>
    <col min="1" max="1" width="18.1640625" customWidth="1"/>
    <col min="3" max="3" width="16.33203125" bestFit="1" customWidth="1"/>
    <col min="6" max="6" width="12.6640625" bestFit="1" customWidth="1"/>
    <col min="7" max="8" width="11.6640625" bestFit="1" customWidth="1"/>
    <col min="9" max="9" width="14.83203125" customWidth="1"/>
    <col min="10" max="10" width="12.1640625" bestFit="1" customWidth="1"/>
    <col min="11" max="14" width="13.1640625" bestFit="1" customWidth="1"/>
    <col min="15" max="15" width="11.83203125" bestFit="1" customWidth="1"/>
    <col min="16" max="16" width="11.6640625" bestFit="1" customWidth="1"/>
    <col min="18" max="18" width="19.1640625" customWidth="1"/>
    <col min="19" max="19" width="17" bestFit="1" customWidth="1"/>
    <col min="20" max="20" width="13.6640625" bestFit="1" customWidth="1"/>
    <col min="21" max="21" width="12.33203125" bestFit="1" customWidth="1"/>
    <col min="22" max="25" width="11.6640625" bestFit="1" customWidth="1"/>
    <col min="26" max="26" width="16.5" customWidth="1"/>
    <col min="28" max="28" width="15.83203125" customWidth="1"/>
    <col min="29" max="29" width="11.6640625" bestFit="1" customWidth="1"/>
  </cols>
  <sheetData>
    <row r="3" spans="1:22" ht="14" x14ac:dyDescent="0.15">
      <c r="A3" s="23" t="s">
        <v>146</v>
      </c>
      <c r="B3">
        <v>5</v>
      </c>
    </row>
    <row r="8" spans="1:22" x14ac:dyDescent="0.15">
      <c r="Q8" s="47" t="s">
        <v>147</v>
      </c>
      <c r="R8" s="47"/>
      <c r="S8" s="47"/>
    </row>
    <row r="9" spans="1:22" ht="42" x14ac:dyDescent="0.15">
      <c r="B9" s="23" t="s">
        <v>135</v>
      </c>
      <c r="C9" s="23" t="s">
        <v>136</v>
      </c>
      <c r="D9" s="23" t="s">
        <v>137</v>
      </c>
      <c r="E9" s="23" t="s">
        <v>151</v>
      </c>
      <c r="F9" s="23" t="s">
        <v>138</v>
      </c>
      <c r="G9" s="23" t="s">
        <v>153</v>
      </c>
      <c r="H9" s="23" t="s">
        <v>139</v>
      </c>
      <c r="I9" s="23" t="s">
        <v>140</v>
      </c>
      <c r="J9" s="23" t="s">
        <v>141</v>
      </c>
      <c r="K9" s="23" t="s">
        <v>142</v>
      </c>
      <c r="L9" s="23" t="s">
        <v>143</v>
      </c>
      <c r="N9" s="48" t="s">
        <v>144</v>
      </c>
      <c r="O9" s="48"/>
      <c r="Q9" s="23" t="s">
        <v>149</v>
      </c>
      <c r="R9" s="23" t="s">
        <v>148</v>
      </c>
      <c r="S9" s="23" t="s">
        <v>139</v>
      </c>
      <c r="T9" s="48" t="s">
        <v>144</v>
      </c>
      <c r="U9" s="48"/>
      <c r="V9" s="23" t="s">
        <v>196</v>
      </c>
    </row>
    <row r="10" spans="1:22" x14ac:dyDescent="0.15">
      <c r="B10">
        <v>1</v>
      </c>
      <c r="C10">
        <v>605</v>
      </c>
      <c r="D10" s="22">
        <v>0.01</v>
      </c>
      <c r="E10" s="22">
        <v>0.03</v>
      </c>
      <c r="F10" s="15">
        <f>E10+D10</f>
        <v>0.04</v>
      </c>
      <c r="G10">
        <f t="shared" ref="G10:G39" si="0">C10*(1+($B$3*F10))</f>
        <v>726</v>
      </c>
      <c r="H10" s="16">
        <f t="shared" ref="H10:H39" si="1">G10/(12*$B$3)</f>
        <v>12.1</v>
      </c>
      <c r="I10" s="17">
        <f t="shared" ref="I10:I39" si="2">H10-(C10/12/$B$3)</f>
        <v>2.0166666666666675</v>
      </c>
      <c r="J10" s="17">
        <f>(D10)*C10/12</f>
        <v>0.50416666666666665</v>
      </c>
      <c r="K10" s="17">
        <f>E10*C10/12</f>
        <v>1.5125</v>
      </c>
      <c r="L10" s="15">
        <f>K10/H10</f>
        <v>0.125</v>
      </c>
      <c r="M10" s="18"/>
      <c r="N10" s="17">
        <f>J10+K10</f>
        <v>2.0166666666666666</v>
      </c>
      <c r="O10" s="17">
        <f>N10-I10</f>
        <v>0</v>
      </c>
      <c r="Q10" s="17">
        <f>(1-$F$46)*K10</f>
        <v>0.75624999999999998</v>
      </c>
      <c r="R10" s="17">
        <f>J10</f>
        <v>0.50416666666666665</v>
      </c>
      <c r="S10" s="17">
        <f>(R10+Q10)+(H10-I10)</f>
        <v>11.343749999999998</v>
      </c>
      <c r="T10" s="17">
        <f>(C10*(1+$B$3*(D10+(1-$F$46)*E10)))/12/$B$3</f>
        <v>11.34375</v>
      </c>
      <c r="U10" s="17">
        <f>S10-T10</f>
        <v>0</v>
      </c>
      <c r="V10" s="17">
        <f>S10*$B$3*12</f>
        <v>680.62499999999989</v>
      </c>
    </row>
    <row r="11" spans="1:22" x14ac:dyDescent="0.15">
      <c r="B11">
        <v>2</v>
      </c>
      <c r="C11">
        <v>387</v>
      </c>
      <c r="D11" s="22">
        <v>0.01</v>
      </c>
      <c r="E11" s="22">
        <v>7.0000000000000007E-2</v>
      </c>
      <c r="F11" s="15">
        <f t="shared" ref="F11:F39" si="3">E11+D11</f>
        <v>0.08</v>
      </c>
      <c r="G11">
        <f t="shared" si="0"/>
        <v>541.79999999999995</v>
      </c>
      <c r="H11" s="16">
        <f t="shared" si="1"/>
        <v>9.0299999999999994</v>
      </c>
      <c r="I11" s="17">
        <f t="shared" si="2"/>
        <v>2.5799999999999992</v>
      </c>
      <c r="J11" s="17">
        <f t="shared" ref="J11:J39" si="4">(D11)*C11/12</f>
        <v>0.32250000000000001</v>
      </c>
      <c r="K11" s="17">
        <f t="shared" ref="K11:K39" si="5">E11*C11/12</f>
        <v>2.2575000000000003</v>
      </c>
      <c r="L11" s="15">
        <f t="shared" ref="L11:L39" si="6">K11/H11</f>
        <v>0.25000000000000006</v>
      </c>
      <c r="N11" s="17">
        <f t="shared" ref="N11:N39" si="7">J11+K11</f>
        <v>2.58</v>
      </c>
      <c r="O11" s="17">
        <f t="shared" ref="O11:O39" si="8">N11-I11</f>
        <v>0</v>
      </c>
      <c r="Q11" s="17">
        <f t="shared" ref="Q11:Q39" si="9">(1-$F$46)*K11</f>
        <v>1.1287500000000001</v>
      </c>
      <c r="R11" s="17">
        <f t="shared" ref="R11:R39" si="10">J11</f>
        <v>0.32250000000000001</v>
      </c>
      <c r="S11" s="17">
        <f t="shared" ref="S11:S39" si="11">(R11+Q11)+(H11-I11)</f>
        <v>7.9012500000000001</v>
      </c>
      <c r="T11" s="17">
        <f t="shared" ref="T11:T39" si="12">(C11*(1+$B$3*(D11+(1-$F$46)*E11)))/12/$B$3</f>
        <v>7.9012500000000001</v>
      </c>
      <c r="U11" s="17">
        <f t="shared" ref="U11:U39" si="13">S11-T11</f>
        <v>0</v>
      </c>
      <c r="V11" s="17">
        <f t="shared" ref="V11:V39" si="14">S11*$B$3*12</f>
        <v>474.07500000000005</v>
      </c>
    </row>
    <row r="12" spans="1:22" x14ac:dyDescent="0.15">
      <c r="B12">
        <v>3</v>
      </c>
      <c r="C12">
        <v>473</v>
      </c>
      <c r="D12" s="22">
        <v>0.01</v>
      </c>
      <c r="E12" s="22">
        <v>0.1</v>
      </c>
      <c r="F12" s="15">
        <f t="shared" si="3"/>
        <v>0.11</v>
      </c>
      <c r="G12">
        <f t="shared" si="0"/>
        <v>733.15</v>
      </c>
      <c r="H12" s="16">
        <f t="shared" si="1"/>
        <v>12.219166666666666</v>
      </c>
      <c r="I12" s="17">
        <f t="shared" si="2"/>
        <v>4.3358333333333334</v>
      </c>
      <c r="J12" s="17">
        <f t="shared" si="4"/>
        <v>0.39416666666666672</v>
      </c>
      <c r="K12" s="17">
        <f t="shared" si="5"/>
        <v>3.9416666666666669</v>
      </c>
      <c r="L12" s="15">
        <f t="shared" si="6"/>
        <v>0.32258064516129037</v>
      </c>
      <c r="N12" s="17">
        <f t="shared" si="7"/>
        <v>4.3358333333333334</v>
      </c>
      <c r="O12" s="17">
        <f t="shared" si="8"/>
        <v>0</v>
      </c>
      <c r="Q12" s="17">
        <f t="shared" si="9"/>
        <v>1.9708333333333334</v>
      </c>
      <c r="R12" s="17">
        <f t="shared" si="10"/>
        <v>0.39416666666666672</v>
      </c>
      <c r="S12" s="17">
        <f t="shared" si="11"/>
        <v>10.248333333333333</v>
      </c>
      <c r="T12" s="17">
        <f t="shared" si="12"/>
        <v>10.248333333333333</v>
      </c>
      <c r="U12" s="17">
        <f t="shared" si="13"/>
        <v>0</v>
      </c>
      <c r="V12" s="17">
        <f t="shared" si="14"/>
        <v>614.9</v>
      </c>
    </row>
    <row r="13" spans="1:22" x14ac:dyDescent="0.15">
      <c r="B13">
        <v>4</v>
      </c>
      <c r="C13">
        <v>877</v>
      </c>
      <c r="D13" s="22">
        <v>0.01</v>
      </c>
      <c r="E13" s="22">
        <v>0.08</v>
      </c>
      <c r="F13" s="15">
        <f t="shared" si="3"/>
        <v>0.09</v>
      </c>
      <c r="G13">
        <f t="shared" si="0"/>
        <v>1271.6499999999999</v>
      </c>
      <c r="H13" s="16">
        <f t="shared" si="1"/>
        <v>21.194166666666664</v>
      </c>
      <c r="I13" s="17">
        <f t="shared" si="2"/>
        <v>6.5774999999999988</v>
      </c>
      <c r="J13" s="17">
        <f t="shared" si="4"/>
        <v>0.73083333333333333</v>
      </c>
      <c r="K13" s="17">
        <f t="shared" si="5"/>
        <v>5.8466666666666667</v>
      </c>
      <c r="L13" s="15">
        <f t="shared" si="6"/>
        <v>0.27586206896551729</v>
      </c>
      <c r="N13" s="17">
        <f t="shared" si="7"/>
        <v>6.5774999999999997</v>
      </c>
      <c r="O13" s="17">
        <f t="shared" si="8"/>
        <v>0</v>
      </c>
      <c r="Q13" s="17">
        <f t="shared" si="9"/>
        <v>2.9233333333333333</v>
      </c>
      <c r="R13" s="17">
        <f t="shared" si="10"/>
        <v>0.73083333333333333</v>
      </c>
      <c r="S13" s="17">
        <f t="shared" si="11"/>
        <v>18.270833333333332</v>
      </c>
      <c r="T13" s="17">
        <f t="shared" si="12"/>
        <v>18.270833333333336</v>
      </c>
      <c r="U13" s="17">
        <f t="shared" si="13"/>
        <v>0</v>
      </c>
      <c r="V13" s="17">
        <f t="shared" si="14"/>
        <v>1096.25</v>
      </c>
    </row>
    <row r="14" spans="1:22" x14ac:dyDescent="0.15">
      <c r="A14">
        <f ca="1">RANDBETWEEN(100, 1000)</f>
        <v>302</v>
      </c>
      <c r="B14">
        <v>5</v>
      </c>
      <c r="C14">
        <v>942</v>
      </c>
      <c r="D14" s="22">
        <v>0.01</v>
      </c>
      <c r="E14" s="22">
        <v>7.0000000000000007E-2</v>
      </c>
      <c r="F14" s="15">
        <f t="shared" si="3"/>
        <v>0.08</v>
      </c>
      <c r="G14">
        <f t="shared" si="0"/>
        <v>1318.8</v>
      </c>
      <c r="H14" s="16">
        <f t="shared" si="1"/>
        <v>21.98</v>
      </c>
      <c r="I14" s="17">
        <f t="shared" si="2"/>
        <v>6.2800000000000011</v>
      </c>
      <c r="J14" s="17">
        <f t="shared" si="4"/>
        <v>0.78500000000000003</v>
      </c>
      <c r="K14" s="17">
        <f t="shared" si="5"/>
        <v>5.495000000000001</v>
      </c>
      <c r="L14" s="15">
        <f t="shared" si="6"/>
        <v>0.25000000000000006</v>
      </c>
      <c r="N14" s="17">
        <f t="shared" si="7"/>
        <v>6.2800000000000011</v>
      </c>
      <c r="O14" s="17">
        <f t="shared" si="8"/>
        <v>0</v>
      </c>
      <c r="Q14" s="17">
        <f t="shared" si="9"/>
        <v>2.7475000000000005</v>
      </c>
      <c r="R14" s="17">
        <f t="shared" si="10"/>
        <v>0.78500000000000003</v>
      </c>
      <c r="S14" s="17">
        <f t="shared" si="11"/>
        <v>19.232500000000002</v>
      </c>
      <c r="T14" s="17">
        <f t="shared" si="12"/>
        <v>19.232500000000002</v>
      </c>
      <c r="U14" s="17">
        <f t="shared" si="13"/>
        <v>0</v>
      </c>
      <c r="V14" s="17">
        <f t="shared" si="14"/>
        <v>1153.95</v>
      </c>
    </row>
    <row r="15" spans="1:22" x14ac:dyDescent="0.15">
      <c r="B15">
        <v>6</v>
      </c>
      <c r="C15">
        <v>571</v>
      </c>
      <c r="D15" s="22">
        <v>0.01</v>
      </c>
      <c r="E15" s="22">
        <v>0.03</v>
      </c>
      <c r="F15" s="15">
        <f t="shared" si="3"/>
        <v>0.04</v>
      </c>
      <c r="G15">
        <f t="shared" si="0"/>
        <v>685.19999999999993</v>
      </c>
      <c r="H15" s="16">
        <f t="shared" si="1"/>
        <v>11.419999999999998</v>
      </c>
      <c r="I15" s="17">
        <f t="shared" si="2"/>
        <v>1.9033333333333307</v>
      </c>
      <c r="J15" s="17">
        <f t="shared" si="4"/>
        <v>0.47583333333333333</v>
      </c>
      <c r="K15" s="17">
        <f t="shared" si="5"/>
        <v>1.4275</v>
      </c>
      <c r="L15" s="15">
        <f t="shared" si="6"/>
        <v>0.12500000000000003</v>
      </c>
      <c r="N15" s="17">
        <f t="shared" si="7"/>
        <v>1.9033333333333333</v>
      </c>
      <c r="O15" s="17">
        <f t="shared" si="8"/>
        <v>2.6645352591003757E-15</v>
      </c>
      <c r="Q15" s="17">
        <f t="shared" si="9"/>
        <v>0.71375</v>
      </c>
      <c r="R15" s="17">
        <f t="shared" si="10"/>
        <v>0.47583333333333333</v>
      </c>
      <c r="S15" s="17">
        <f t="shared" si="11"/>
        <v>10.706250000000001</v>
      </c>
      <c r="T15" s="17">
        <f t="shared" si="12"/>
        <v>10.706250000000001</v>
      </c>
      <c r="U15" s="17">
        <f t="shared" si="13"/>
        <v>0</v>
      </c>
      <c r="V15" s="17">
        <f t="shared" si="14"/>
        <v>642.375</v>
      </c>
    </row>
    <row r="16" spans="1:22" x14ac:dyDescent="0.15">
      <c r="B16">
        <v>7</v>
      </c>
      <c r="C16">
        <v>473</v>
      </c>
      <c r="D16" s="22">
        <v>0.01</v>
      </c>
      <c r="E16" s="22">
        <v>0.03</v>
      </c>
      <c r="F16" s="15">
        <f t="shared" si="3"/>
        <v>0.04</v>
      </c>
      <c r="G16">
        <f t="shared" si="0"/>
        <v>567.6</v>
      </c>
      <c r="H16" s="16">
        <f t="shared" si="1"/>
        <v>9.4600000000000009</v>
      </c>
      <c r="I16" s="17">
        <f t="shared" si="2"/>
        <v>1.576666666666668</v>
      </c>
      <c r="J16" s="17">
        <f t="shared" si="4"/>
        <v>0.39416666666666672</v>
      </c>
      <c r="K16" s="17">
        <f t="shared" si="5"/>
        <v>1.1824999999999999</v>
      </c>
      <c r="L16" s="15">
        <f t="shared" si="6"/>
        <v>0.12499999999999997</v>
      </c>
      <c r="N16" s="17">
        <f t="shared" si="7"/>
        <v>1.5766666666666667</v>
      </c>
      <c r="O16" s="17">
        <f t="shared" si="8"/>
        <v>0</v>
      </c>
      <c r="Q16" s="17">
        <f t="shared" si="9"/>
        <v>0.59124999999999994</v>
      </c>
      <c r="R16" s="17">
        <f t="shared" si="10"/>
        <v>0.39416666666666672</v>
      </c>
      <c r="S16" s="17">
        <f t="shared" si="11"/>
        <v>8.8687499999999986</v>
      </c>
      <c r="T16" s="17">
        <f t="shared" si="12"/>
        <v>8.8687500000000004</v>
      </c>
      <c r="U16" s="17">
        <f t="shared" si="13"/>
        <v>0</v>
      </c>
      <c r="V16" s="17">
        <f t="shared" si="14"/>
        <v>532.12499999999989</v>
      </c>
    </row>
    <row r="17" spans="2:22" x14ac:dyDescent="0.15">
      <c r="B17">
        <v>8</v>
      </c>
      <c r="C17">
        <v>290</v>
      </c>
      <c r="D17" s="22">
        <v>0.01</v>
      </c>
      <c r="E17" s="22">
        <v>0.05</v>
      </c>
      <c r="F17" s="15">
        <f t="shared" si="3"/>
        <v>6.0000000000000005E-2</v>
      </c>
      <c r="G17">
        <f t="shared" si="0"/>
        <v>377</v>
      </c>
      <c r="H17" s="16">
        <f t="shared" si="1"/>
        <v>6.2833333333333332</v>
      </c>
      <c r="I17" s="17">
        <f t="shared" si="2"/>
        <v>1.4499999999999993</v>
      </c>
      <c r="J17" s="17">
        <f t="shared" si="4"/>
        <v>0.24166666666666667</v>
      </c>
      <c r="K17" s="17">
        <f t="shared" si="5"/>
        <v>1.2083333333333333</v>
      </c>
      <c r="L17" s="15">
        <f t="shared" si="6"/>
        <v>0.19230769230769229</v>
      </c>
      <c r="N17" s="17">
        <f t="shared" si="7"/>
        <v>1.45</v>
      </c>
      <c r="O17" s="17">
        <f t="shared" si="8"/>
        <v>0</v>
      </c>
      <c r="Q17" s="17">
        <f t="shared" si="9"/>
        <v>0.60416666666666663</v>
      </c>
      <c r="R17" s="17">
        <f t="shared" si="10"/>
        <v>0.24166666666666667</v>
      </c>
      <c r="S17" s="17">
        <f t="shared" si="11"/>
        <v>5.6791666666666671</v>
      </c>
      <c r="T17" s="17">
        <f t="shared" si="12"/>
        <v>5.6791666666666663</v>
      </c>
      <c r="U17" s="17">
        <f t="shared" si="13"/>
        <v>0</v>
      </c>
      <c r="V17" s="17">
        <f t="shared" si="14"/>
        <v>340.75</v>
      </c>
    </row>
    <row r="18" spans="2:22" x14ac:dyDescent="0.15">
      <c r="B18">
        <v>9</v>
      </c>
      <c r="C18">
        <v>806</v>
      </c>
      <c r="D18" s="22">
        <v>0.01</v>
      </c>
      <c r="E18" s="22">
        <v>0.1</v>
      </c>
      <c r="F18" s="15">
        <f t="shared" si="3"/>
        <v>0.11</v>
      </c>
      <c r="G18">
        <f t="shared" si="0"/>
        <v>1249.3</v>
      </c>
      <c r="H18" s="16">
        <f t="shared" si="1"/>
        <v>20.821666666666665</v>
      </c>
      <c r="I18" s="17">
        <f t="shared" si="2"/>
        <v>7.3883333333333319</v>
      </c>
      <c r="J18" s="17">
        <f t="shared" si="4"/>
        <v>0.67166666666666675</v>
      </c>
      <c r="K18" s="17">
        <f t="shared" si="5"/>
        <v>6.7166666666666677</v>
      </c>
      <c r="L18" s="15">
        <f t="shared" si="6"/>
        <v>0.32258064516129037</v>
      </c>
      <c r="N18" s="17">
        <f t="shared" si="7"/>
        <v>7.3883333333333345</v>
      </c>
      <c r="O18" s="17">
        <f t="shared" si="8"/>
        <v>0</v>
      </c>
      <c r="Q18" s="17">
        <f t="shared" si="9"/>
        <v>3.3583333333333338</v>
      </c>
      <c r="R18" s="17">
        <f t="shared" si="10"/>
        <v>0.67166666666666675</v>
      </c>
      <c r="S18" s="17">
        <f t="shared" si="11"/>
        <v>17.463333333333335</v>
      </c>
      <c r="T18" s="17">
        <f t="shared" si="12"/>
        <v>17.463333333333331</v>
      </c>
      <c r="U18" s="17">
        <f t="shared" si="13"/>
        <v>0</v>
      </c>
      <c r="V18" s="17">
        <f t="shared" si="14"/>
        <v>1047.8000000000002</v>
      </c>
    </row>
    <row r="19" spans="2:22" x14ac:dyDescent="0.15">
      <c r="B19">
        <v>10</v>
      </c>
      <c r="C19">
        <v>556</v>
      </c>
      <c r="D19" s="22">
        <v>0.01</v>
      </c>
      <c r="E19" s="22">
        <v>0.1</v>
      </c>
      <c r="F19" s="15">
        <f t="shared" si="3"/>
        <v>0.11</v>
      </c>
      <c r="G19">
        <f t="shared" si="0"/>
        <v>861.80000000000007</v>
      </c>
      <c r="H19" s="16">
        <f t="shared" si="1"/>
        <v>14.363333333333335</v>
      </c>
      <c r="I19" s="17">
        <f t="shared" si="2"/>
        <v>5.0966666666666676</v>
      </c>
      <c r="J19" s="17">
        <f t="shared" si="4"/>
        <v>0.46333333333333337</v>
      </c>
      <c r="K19" s="17">
        <f t="shared" si="5"/>
        <v>4.6333333333333337</v>
      </c>
      <c r="L19" s="15">
        <f t="shared" si="6"/>
        <v>0.32258064516129031</v>
      </c>
      <c r="N19" s="17">
        <f t="shared" si="7"/>
        <v>5.0966666666666676</v>
      </c>
      <c r="O19" s="17">
        <f t="shared" si="8"/>
        <v>0</v>
      </c>
      <c r="Q19" s="17">
        <f t="shared" si="9"/>
        <v>2.3166666666666669</v>
      </c>
      <c r="R19" s="17">
        <f t="shared" si="10"/>
        <v>0.46333333333333337</v>
      </c>
      <c r="S19" s="17">
        <f t="shared" si="11"/>
        <v>12.046666666666667</v>
      </c>
      <c r="T19" s="17">
        <f t="shared" si="12"/>
        <v>12.046666666666669</v>
      </c>
      <c r="U19" s="17">
        <f t="shared" si="13"/>
        <v>0</v>
      </c>
      <c r="V19" s="17">
        <f t="shared" si="14"/>
        <v>722.8</v>
      </c>
    </row>
    <row r="20" spans="2:22" x14ac:dyDescent="0.15">
      <c r="B20">
        <v>11</v>
      </c>
      <c r="C20">
        <v>629</v>
      </c>
      <c r="D20" s="22">
        <v>0.01</v>
      </c>
      <c r="E20" s="22">
        <v>0.1</v>
      </c>
      <c r="F20" s="15">
        <f t="shared" si="3"/>
        <v>0.11</v>
      </c>
      <c r="G20">
        <f t="shared" si="0"/>
        <v>974.95</v>
      </c>
      <c r="H20" s="16">
        <f t="shared" si="1"/>
        <v>16.249166666666667</v>
      </c>
      <c r="I20" s="17">
        <f t="shared" si="2"/>
        <v>5.7658333333333349</v>
      </c>
      <c r="J20" s="17">
        <f t="shared" si="4"/>
        <v>0.52416666666666667</v>
      </c>
      <c r="K20" s="17">
        <f t="shared" si="5"/>
        <v>5.2416666666666671</v>
      </c>
      <c r="L20" s="15">
        <f t="shared" si="6"/>
        <v>0.32258064516129031</v>
      </c>
      <c r="N20" s="17">
        <f t="shared" si="7"/>
        <v>5.765833333333334</v>
      </c>
      <c r="O20" s="17">
        <f t="shared" si="8"/>
        <v>0</v>
      </c>
      <c r="Q20" s="17">
        <f t="shared" si="9"/>
        <v>2.6208333333333336</v>
      </c>
      <c r="R20" s="17">
        <f t="shared" si="10"/>
        <v>0.52416666666666667</v>
      </c>
      <c r="S20" s="17">
        <f t="shared" si="11"/>
        <v>13.628333333333334</v>
      </c>
      <c r="T20" s="17">
        <f t="shared" si="12"/>
        <v>13.628333333333334</v>
      </c>
      <c r="U20" s="17">
        <f t="shared" si="13"/>
        <v>0</v>
      </c>
      <c r="V20" s="17">
        <f t="shared" si="14"/>
        <v>817.7</v>
      </c>
    </row>
    <row r="21" spans="2:22" x14ac:dyDescent="0.15">
      <c r="B21">
        <v>12</v>
      </c>
      <c r="C21">
        <v>986</v>
      </c>
      <c r="D21" s="22">
        <v>0.01</v>
      </c>
      <c r="E21" s="22">
        <v>0.05</v>
      </c>
      <c r="F21" s="15">
        <f t="shared" si="3"/>
        <v>6.0000000000000005E-2</v>
      </c>
      <c r="G21">
        <f t="shared" si="0"/>
        <v>1281.8</v>
      </c>
      <c r="H21" s="16">
        <f t="shared" si="1"/>
        <v>21.363333333333333</v>
      </c>
      <c r="I21" s="17">
        <f t="shared" si="2"/>
        <v>4.93</v>
      </c>
      <c r="J21" s="17">
        <f t="shared" si="4"/>
        <v>0.82166666666666666</v>
      </c>
      <c r="K21" s="17">
        <f t="shared" si="5"/>
        <v>4.1083333333333334</v>
      </c>
      <c r="L21" s="15">
        <f t="shared" si="6"/>
        <v>0.19230769230769232</v>
      </c>
      <c r="N21" s="17">
        <f t="shared" si="7"/>
        <v>4.93</v>
      </c>
      <c r="O21" s="17">
        <f t="shared" si="8"/>
        <v>0</v>
      </c>
      <c r="Q21" s="17">
        <f t="shared" si="9"/>
        <v>2.0541666666666667</v>
      </c>
      <c r="R21" s="17">
        <f t="shared" si="10"/>
        <v>0.82166666666666666</v>
      </c>
      <c r="S21" s="17">
        <f t="shared" si="11"/>
        <v>19.309166666666666</v>
      </c>
      <c r="T21" s="17">
        <f t="shared" si="12"/>
        <v>19.309166666666666</v>
      </c>
      <c r="U21" s="17">
        <f t="shared" si="13"/>
        <v>0</v>
      </c>
      <c r="V21" s="17">
        <f t="shared" si="14"/>
        <v>1158.55</v>
      </c>
    </row>
    <row r="22" spans="2:22" x14ac:dyDescent="0.15">
      <c r="B22">
        <v>13</v>
      </c>
      <c r="C22">
        <v>831</v>
      </c>
      <c r="D22" s="22">
        <v>0.01</v>
      </c>
      <c r="E22" s="22">
        <v>0.08</v>
      </c>
      <c r="F22" s="15">
        <f t="shared" si="3"/>
        <v>0.09</v>
      </c>
      <c r="G22">
        <f t="shared" si="0"/>
        <v>1204.95</v>
      </c>
      <c r="H22" s="16">
        <f t="shared" si="1"/>
        <v>20.0825</v>
      </c>
      <c r="I22" s="17">
        <f t="shared" si="2"/>
        <v>6.2324999999999999</v>
      </c>
      <c r="J22" s="17">
        <f t="shared" si="4"/>
        <v>0.6925</v>
      </c>
      <c r="K22" s="17">
        <f t="shared" si="5"/>
        <v>5.54</v>
      </c>
      <c r="L22" s="15">
        <f t="shared" si="6"/>
        <v>0.27586206896551724</v>
      </c>
      <c r="N22" s="17">
        <f t="shared" si="7"/>
        <v>6.2324999999999999</v>
      </c>
      <c r="O22" s="17">
        <f t="shared" si="8"/>
        <v>0</v>
      </c>
      <c r="Q22" s="17">
        <f t="shared" si="9"/>
        <v>2.77</v>
      </c>
      <c r="R22" s="17">
        <f t="shared" si="10"/>
        <v>0.6925</v>
      </c>
      <c r="S22" s="17">
        <f t="shared" si="11"/>
        <v>17.3125</v>
      </c>
      <c r="T22" s="17">
        <f t="shared" si="12"/>
        <v>17.3125</v>
      </c>
      <c r="U22" s="17">
        <f t="shared" si="13"/>
        <v>0</v>
      </c>
      <c r="V22" s="17">
        <f t="shared" si="14"/>
        <v>1038.75</v>
      </c>
    </row>
    <row r="23" spans="2:22" x14ac:dyDescent="0.15">
      <c r="B23">
        <v>14</v>
      </c>
      <c r="C23">
        <v>571</v>
      </c>
      <c r="D23" s="22">
        <v>0.01</v>
      </c>
      <c r="E23" s="22">
        <v>0.03</v>
      </c>
      <c r="F23" s="15">
        <f t="shared" si="3"/>
        <v>0.04</v>
      </c>
      <c r="G23">
        <f t="shared" si="0"/>
        <v>685.19999999999993</v>
      </c>
      <c r="H23" s="16">
        <f t="shared" si="1"/>
        <v>11.419999999999998</v>
      </c>
      <c r="I23" s="17">
        <f t="shared" si="2"/>
        <v>1.9033333333333307</v>
      </c>
      <c r="J23" s="17">
        <f t="shared" si="4"/>
        <v>0.47583333333333333</v>
      </c>
      <c r="K23" s="17">
        <f t="shared" si="5"/>
        <v>1.4275</v>
      </c>
      <c r="L23" s="15">
        <f t="shared" si="6"/>
        <v>0.12500000000000003</v>
      </c>
      <c r="N23" s="17">
        <f t="shared" si="7"/>
        <v>1.9033333333333333</v>
      </c>
      <c r="O23" s="17">
        <f t="shared" si="8"/>
        <v>2.6645352591003757E-15</v>
      </c>
      <c r="Q23" s="17">
        <f t="shared" si="9"/>
        <v>0.71375</v>
      </c>
      <c r="R23" s="17">
        <f t="shared" si="10"/>
        <v>0.47583333333333333</v>
      </c>
      <c r="S23" s="17">
        <f t="shared" si="11"/>
        <v>10.706250000000001</v>
      </c>
      <c r="T23" s="17">
        <f t="shared" si="12"/>
        <v>10.706250000000001</v>
      </c>
      <c r="U23" s="17">
        <f t="shared" si="13"/>
        <v>0</v>
      </c>
      <c r="V23" s="17">
        <f t="shared" si="14"/>
        <v>642.375</v>
      </c>
    </row>
    <row r="24" spans="2:22" x14ac:dyDescent="0.15">
      <c r="B24">
        <v>15</v>
      </c>
      <c r="C24">
        <v>605</v>
      </c>
      <c r="D24" s="22">
        <v>0.01</v>
      </c>
      <c r="E24" s="22">
        <v>0.01</v>
      </c>
      <c r="F24" s="15">
        <f t="shared" si="3"/>
        <v>0.02</v>
      </c>
      <c r="G24">
        <f t="shared" si="0"/>
        <v>665.5</v>
      </c>
      <c r="H24" s="16">
        <f t="shared" si="1"/>
        <v>11.091666666666667</v>
      </c>
      <c r="I24" s="17">
        <f t="shared" si="2"/>
        <v>1.0083333333333346</v>
      </c>
      <c r="J24" s="17">
        <f t="shared" si="4"/>
        <v>0.50416666666666665</v>
      </c>
      <c r="K24" s="17">
        <f t="shared" si="5"/>
        <v>0.50416666666666665</v>
      </c>
      <c r="L24" s="15">
        <f t="shared" si="6"/>
        <v>4.5454545454545456E-2</v>
      </c>
      <c r="N24" s="17">
        <f t="shared" si="7"/>
        <v>1.0083333333333333</v>
      </c>
      <c r="O24" s="17">
        <f t="shared" si="8"/>
        <v>0</v>
      </c>
      <c r="Q24" s="17">
        <f t="shared" si="9"/>
        <v>0.25208333333333333</v>
      </c>
      <c r="R24" s="17">
        <f t="shared" si="10"/>
        <v>0.50416666666666665</v>
      </c>
      <c r="S24" s="17">
        <f t="shared" si="11"/>
        <v>10.839583333333332</v>
      </c>
      <c r="T24" s="17">
        <f t="shared" si="12"/>
        <v>10.839583333333334</v>
      </c>
      <c r="U24" s="17">
        <f t="shared" si="13"/>
        <v>0</v>
      </c>
      <c r="V24" s="17">
        <f t="shared" si="14"/>
        <v>650.37499999999989</v>
      </c>
    </row>
    <row r="25" spans="2:22" x14ac:dyDescent="0.15">
      <c r="B25">
        <v>16</v>
      </c>
      <c r="C25">
        <v>857</v>
      </c>
      <c r="D25" s="22">
        <v>0.01</v>
      </c>
      <c r="E25" s="22">
        <v>0.08</v>
      </c>
      <c r="F25" s="15">
        <f t="shared" si="3"/>
        <v>0.09</v>
      </c>
      <c r="G25">
        <f t="shared" si="0"/>
        <v>1242.6499999999999</v>
      </c>
      <c r="H25" s="16">
        <f t="shared" si="1"/>
        <v>20.71083333333333</v>
      </c>
      <c r="I25" s="17">
        <f t="shared" si="2"/>
        <v>6.4274999999999949</v>
      </c>
      <c r="J25" s="17">
        <f t="shared" si="4"/>
        <v>0.71416666666666673</v>
      </c>
      <c r="K25" s="17">
        <f t="shared" si="5"/>
        <v>5.7133333333333338</v>
      </c>
      <c r="L25" s="15">
        <f t="shared" si="6"/>
        <v>0.27586206896551729</v>
      </c>
      <c r="N25" s="17">
        <f t="shared" si="7"/>
        <v>6.4275000000000002</v>
      </c>
      <c r="O25" s="17">
        <f t="shared" si="8"/>
        <v>0</v>
      </c>
      <c r="Q25" s="17">
        <f t="shared" si="9"/>
        <v>2.8566666666666669</v>
      </c>
      <c r="R25" s="17">
        <f t="shared" si="10"/>
        <v>0.71416666666666673</v>
      </c>
      <c r="S25" s="17">
        <f t="shared" si="11"/>
        <v>17.854166666666668</v>
      </c>
      <c r="T25" s="17">
        <f t="shared" si="12"/>
        <v>17.854166666666664</v>
      </c>
      <c r="U25" s="17">
        <f t="shared" si="13"/>
        <v>0</v>
      </c>
      <c r="V25" s="17">
        <f t="shared" si="14"/>
        <v>1071.25</v>
      </c>
    </row>
    <row r="26" spans="2:22" x14ac:dyDescent="0.15">
      <c r="B26">
        <v>17</v>
      </c>
      <c r="C26">
        <v>363</v>
      </c>
      <c r="D26" s="22">
        <v>0.01</v>
      </c>
      <c r="E26" s="22">
        <v>0.06</v>
      </c>
      <c r="F26" s="15">
        <f t="shared" si="3"/>
        <v>6.9999999999999993E-2</v>
      </c>
      <c r="G26">
        <f t="shared" si="0"/>
        <v>490.05</v>
      </c>
      <c r="H26" s="16">
        <f t="shared" si="1"/>
        <v>8.1675000000000004</v>
      </c>
      <c r="I26" s="17">
        <f t="shared" si="2"/>
        <v>2.1175000000000006</v>
      </c>
      <c r="J26" s="17">
        <f t="shared" si="4"/>
        <v>0.30249999999999999</v>
      </c>
      <c r="K26" s="17">
        <f t="shared" si="5"/>
        <v>1.8149999999999997</v>
      </c>
      <c r="L26" s="15">
        <f t="shared" si="6"/>
        <v>0.22222222222222218</v>
      </c>
      <c r="N26" s="17">
        <f t="shared" si="7"/>
        <v>2.1174999999999997</v>
      </c>
      <c r="O26" s="17">
        <f t="shared" si="8"/>
        <v>0</v>
      </c>
      <c r="Q26" s="17">
        <f t="shared" si="9"/>
        <v>0.90749999999999986</v>
      </c>
      <c r="R26" s="17">
        <f t="shared" si="10"/>
        <v>0.30249999999999999</v>
      </c>
      <c r="S26" s="17">
        <f t="shared" si="11"/>
        <v>7.26</v>
      </c>
      <c r="T26" s="17">
        <f t="shared" si="12"/>
        <v>7.26</v>
      </c>
      <c r="U26" s="17">
        <f t="shared" si="13"/>
        <v>0</v>
      </c>
      <c r="V26" s="17">
        <f t="shared" si="14"/>
        <v>435.59999999999997</v>
      </c>
    </row>
    <row r="27" spans="2:22" x14ac:dyDescent="0.15">
      <c r="B27">
        <v>18</v>
      </c>
      <c r="C27">
        <v>601</v>
      </c>
      <c r="D27" s="22">
        <v>0.01</v>
      </c>
      <c r="E27" s="22">
        <v>0.1</v>
      </c>
      <c r="F27" s="15">
        <f t="shared" si="3"/>
        <v>0.11</v>
      </c>
      <c r="G27">
        <f t="shared" si="0"/>
        <v>931.55000000000007</v>
      </c>
      <c r="H27" s="16">
        <f t="shared" si="1"/>
        <v>15.525833333333335</v>
      </c>
      <c r="I27" s="17">
        <f t="shared" si="2"/>
        <v>5.5091666666666672</v>
      </c>
      <c r="J27" s="17">
        <f t="shared" si="4"/>
        <v>0.50083333333333335</v>
      </c>
      <c r="K27" s="17">
        <f t="shared" si="5"/>
        <v>5.0083333333333337</v>
      </c>
      <c r="L27" s="15">
        <f t="shared" si="6"/>
        <v>0.32258064516129031</v>
      </c>
      <c r="N27" s="17">
        <f t="shared" si="7"/>
        <v>5.5091666666666672</v>
      </c>
      <c r="O27" s="17">
        <f t="shared" si="8"/>
        <v>0</v>
      </c>
      <c r="Q27" s="17">
        <f t="shared" si="9"/>
        <v>2.5041666666666669</v>
      </c>
      <c r="R27" s="17">
        <f t="shared" si="10"/>
        <v>0.50083333333333335</v>
      </c>
      <c r="S27" s="17">
        <f t="shared" si="11"/>
        <v>13.021666666666668</v>
      </c>
      <c r="T27" s="17">
        <f t="shared" si="12"/>
        <v>13.021666666666667</v>
      </c>
      <c r="U27" s="17">
        <f t="shared" si="13"/>
        <v>0</v>
      </c>
      <c r="V27" s="17">
        <f t="shared" si="14"/>
        <v>781.30000000000018</v>
      </c>
    </row>
    <row r="28" spans="2:22" x14ac:dyDescent="0.15">
      <c r="B28">
        <v>19</v>
      </c>
      <c r="C28">
        <v>522</v>
      </c>
      <c r="D28" s="22">
        <v>0.01</v>
      </c>
      <c r="E28" s="22">
        <v>0.1</v>
      </c>
      <c r="F28" s="15">
        <f t="shared" si="3"/>
        <v>0.11</v>
      </c>
      <c r="G28">
        <f t="shared" si="0"/>
        <v>809.1</v>
      </c>
      <c r="H28" s="16">
        <f t="shared" si="1"/>
        <v>13.485000000000001</v>
      </c>
      <c r="I28" s="17">
        <f t="shared" si="2"/>
        <v>4.7850000000000019</v>
      </c>
      <c r="J28" s="17">
        <f t="shared" si="4"/>
        <v>0.435</v>
      </c>
      <c r="K28" s="17">
        <f t="shared" si="5"/>
        <v>4.3500000000000005</v>
      </c>
      <c r="L28" s="15">
        <f t="shared" si="6"/>
        <v>0.32258064516129031</v>
      </c>
      <c r="N28" s="17">
        <f t="shared" si="7"/>
        <v>4.7850000000000001</v>
      </c>
      <c r="O28" s="17">
        <f t="shared" si="8"/>
        <v>0</v>
      </c>
      <c r="Q28" s="17">
        <f t="shared" si="9"/>
        <v>2.1750000000000003</v>
      </c>
      <c r="R28" s="17">
        <f t="shared" si="10"/>
        <v>0.435</v>
      </c>
      <c r="S28" s="17">
        <f t="shared" si="11"/>
        <v>11.309999999999999</v>
      </c>
      <c r="T28" s="17">
        <f t="shared" si="12"/>
        <v>11.31</v>
      </c>
      <c r="U28" s="17">
        <f t="shared" si="13"/>
        <v>0</v>
      </c>
      <c r="V28" s="17">
        <f t="shared" si="14"/>
        <v>678.59999999999991</v>
      </c>
    </row>
    <row r="29" spans="2:22" x14ac:dyDescent="0.15">
      <c r="B29">
        <v>20</v>
      </c>
      <c r="C29">
        <v>120</v>
      </c>
      <c r="D29" s="22">
        <v>0.01</v>
      </c>
      <c r="E29" s="22">
        <v>0.09</v>
      </c>
      <c r="F29" s="15">
        <f t="shared" si="3"/>
        <v>9.9999999999999992E-2</v>
      </c>
      <c r="G29">
        <f t="shared" si="0"/>
        <v>180</v>
      </c>
      <c r="H29" s="16">
        <f t="shared" si="1"/>
        <v>3</v>
      </c>
      <c r="I29" s="17">
        <f t="shared" si="2"/>
        <v>1</v>
      </c>
      <c r="J29" s="17">
        <f t="shared" si="4"/>
        <v>9.9999999999999992E-2</v>
      </c>
      <c r="K29" s="17">
        <f t="shared" si="5"/>
        <v>0.89999999999999991</v>
      </c>
      <c r="L29" s="15">
        <f t="shared" si="6"/>
        <v>0.3</v>
      </c>
      <c r="N29" s="17">
        <f t="shared" si="7"/>
        <v>0.99999999999999989</v>
      </c>
      <c r="O29" s="17">
        <f t="shared" si="8"/>
        <v>0</v>
      </c>
      <c r="Q29" s="17">
        <f t="shared" si="9"/>
        <v>0.44999999999999996</v>
      </c>
      <c r="R29" s="17">
        <f t="shared" si="10"/>
        <v>9.9999999999999992E-2</v>
      </c>
      <c r="S29" s="17">
        <f t="shared" si="11"/>
        <v>2.5499999999999998</v>
      </c>
      <c r="T29" s="17">
        <f t="shared" si="12"/>
        <v>2.5499999999999998</v>
      </c>
      <c r="U29" s="17">
        <f t="shared" si="13"/>
        <v>0</v>
      </c>
      <c r="V29" s="17">
        <f t="shared" si="14"/>
        <v>153</v>
      </c>
    </row>
    <row r="30" spans="2:22" x14ac:dyDescent="0.15">
      <c r="B30">
        <v>21</v>
      </c>
      <c r="C30">
        <v>329</v>
      </c>
      <c r="D30" s="22">
        <v>0.01</v>
      </c>
      <c r="E30" s="22">
        <v>0.05</v>
      </c>
      <c r="F30" s="15">
        <f t="shared" si="3"/>
        <v>6.0000000000000005E-2</v>
      </c>
      <c r="G30">
        <f t="shared" si="0"/>
        <v>427.7</v>
      </c>
      <c r="H30" s="16">
        <f t="shared" si="1"/>
        <v>7.128333333333333</v>
      </c>
      <c r="I30" s="17">
        <f t="shared" si="2"/>
        <v>1.6449999999999996</v>
      </c>
      <c r="J30" s="17">
        <f t="shared" si="4"/>
        <v>0.27416666666666667</v>
      </c>
      <c r="K30" s="17">
        <f t="shared" si="5"/>
        <v>1.3708333333333333</v>
      </c>
      <c r="L30" s="15">
        <f t="shared" si="6"/>
        <v>0.19230769230769232</v>
      </c>
      <c r="N30" s="17">
        <f t="shared" si="7"/>
        <v>1.645</v>
      </c>
      <c r="O30" s="17">
        <f t="shared" si="8"/>
        <v>0</v>
      </c>
      <c r="Q30" s="17">
        <f t="shared" si="9"/>
        <v>0.68541666666666667</v>
      </c>
      <c r="R30" s="17">
        <f t="shared" si="10"/>
        <v>0.27416666666666667</v>
      </c>
      <c r="S30" s="17">
        <f t="shared" si="11"/>
        <v>6.4429166666666671</v>
      </c>
      <c r="T30" s="17">
        <f t="shared" si="12"/>
        <v>6.4429166666666662</v>
      </c>
      <c r="U30" s="17">
        <f t="shared" si="13"/>
        <v>0</v>
      </c>
      <c r="V30" s="17">
        <f t="shared" si="14"/>
        <v>386.57500000000005</v>
      </c>
    </row>
    <row r="31" spans="2:22" x14ac:dyDescent="0.15">
      <c r="B31">
        <v>22</v>
      </c>
      <c r="C31">
        <v>961</v>
      </c>
      <c r="D31" s="22">
        <v>0.01</v>
      </c>
      <c r="E31" s="22">
        <v>0.06</v>
      </c>
      <c r="F31" s="15">
        <f t="shared" si="3"/>
        <v>6.9999999999999993E-2</v>
      </c>
      <c r="G31">
        <f t="shared" si="0"/>
        <v>1297.3500000000001</v>
      </c>
      <c r="H31" s="16">
        <f t="shared" si="1"/>
        <v>21.622500000000002</v>
      </c>
      <c r="I31" s="17">
        <f t="shared" si="2"/>
        <v>5.6058333333333366</v>
      </c>
      <c r="J31" s="17">
        <f t="shared" si="4"/>
        <v>0.80083333333333329</v>
      </c>
      <c r="K31" s="17">
        <f t="shared" si="5"/>
        <v>4.8049999999999997</v>
      </c>
      <c r="L31" s="15">
        <f t="shared" si="6"/>
        <v>0.22222222222222218</v>
      </c>
      <c r="N31" s="17">
        <f t="shared" si="7"/>
        <v>5.605833333333333</v>
      </c>
      <c r="O31" s="17">
        <f t="shared" si="8"/>
        <v>0</v>
      </c>
      <c r="Q31" s="17">
        <f t="shared" si="9"/>
        <v>2.4024999999999999</v>
      </c>
      <c r="R31" s="17">
        <f t="shared" si="10"/>
        <v>0.80083333333333329</v>
      </c>
      <c r="S31" s="17">
        <f t="shared" si="11"/>
        <v>19.22</v>
      </c>
      <c r="T31" s="17">
        <f t="shared" si="12"/>
        <v>19.220000000000002</v>
      </c>
      <c r="U31" s="17">
        <f t="shared" si="13"/>
        <v>0</v>
      </c>
      <c r="V31" s="17">
        <f t="shared" si="14"/>
        <v>1153.1999999999998</v>
      </c>
    </row>
    <row r="32" spans="2:22" x14ac:dyDescent="0.15">
      <c r="B32">
        <v>23</v>
      </c>
      <c r="C32">
        <v>458</v>
      </c>
      <c r="D32" s="22">
        <v>0.01</v>
      </c>
      <c r="E32" s="22">
        <v>0</v>
      </c>
      <c r="F32" s="15">
        <f t="shared" si="3"/>
        <v>0.01</v>
      </c>
      <c r="G32">
        <f t="shared" si="0"/>
        <v>480.90000000000003</v>
      </c>
      <c r="H32" s="16">
        <f t="shared" si="1"/>
        <v>8.0150000000000006</v>
      </c>
      <c r="I32" s="17">
        <f t="shared" si="2"/>
        <v>0.38166666666666771</v>
      </c>
      <c r="J32" s="17">
        <f t="shared" si="4"/>
        <v>0.38166666666666665</v>
      </c>
      <c r="K32" s="17">
        <f t="shared" si="5"/>
        <v>0</v>
      </c>
      <c r="L32" s="15">
        <f t="shared" si="6"/>
        <v>0</v>
      </c>
      <c r="N32" s="17">
        <f t="shared" si="7"/>
        <v>0.38166666666666665</v>
      </c>
      <c r="O32" s="17">
        <f t="shared" si="8"/>
        <v>-1.0547118733938987E-15</v>
      </c>
      <c r="Q32" s="17">
        <f t="shared" si="9"/>
        <v>0</v>
      </c>
      <c r="R32" s="17">
        <f t="shared" si="10"/>
        <v>0.38166666666666665</v>
      </c>
      <c r="S32" s="17">
        <f t="shared" si="11"/>
        <v>8.0149999999999988</v>
      </c>
      <c r="T32" s="17">
        <f t="shared" si="12"/>
        <v>8.0150000000000006</v>
      </c>
      <c r="U32" s="17">
        <f t="shared" si="13"/>
        <v>0</v>
      </c>
      <c r="V32" s="17">
        <f t="shared" si="14"/>
        <v>480.9</v>
      </c>
    </row>
    <row r="33" spans="2:22" x14ac:dyDescent="0.15">
      <c r="B33">
        <v>24</v>
      </c>
      <c r="C33">
        <v>705</v>
      </c>
      <c r="D33" s="22">
        <v>0.01</v>
      </c>
      <c r="E33" s="22">
        <v>0</v>
      </c>
      <c r="F33" s="15">
        <f t="shared" si="3"/>
        <v>0.01</v>
      </c>
      <c r="G33">
        <f t="shared" si="0"/>
        <v>740.25</v>
      </c>
      <c r="H33" s="16">
        <f t="shared" si="1"/>
        <v>12.3375</v>
      </c>
      <c r="I33" s="17">
        <f t="shared" si="2"/>
        <v>0.58750000000000036</v>
      </c>
      <c r="J33" s="17">
        <f t="shared" si="4"/>
        <v>0.58750000000000002</v>
      </c>
      <c r="K33" s="17">
        <f t="shared" si="5"/>
        <v>0</v>
      </c>
      <c r="L33" s="15">
        <f t="shared" si="6"/>
        <v>0</v>
      </c>
      <c r="N33" s="17">
        <f t="shared" si="7"/>
        <v>0.58750000000000002</v>
      </c>
      <c r="O33" s="17">
        <f t="shared" si="8"/>
        <v>0</v>
      </c>
      <c r="Q33" s="17">
        <f t="shared" si="9"/>
        <v>0</v>
      </c>
      <c r="R33" s="17">
        <f t="shared" si="10"/>
        <v>0.58750000000000002</v>
      </c>
      <c r="S33" s="17">
        <f t="shared" si="11"/>
        <v>12.3375</v>
      </c>
      <c r="T33" s="17">
        <f t="shared" si="12"/>
        <v>12.3375</v>
      </c>
      <c r="U33" s="17">
        <f t="shared" si="13"/>
        <v>0</v>
      </c>
      <c r="V33" s="17">
        <f t="shared" si="14"/>
        <v>740.25</v>
      </c>
    </row>
    <row r="34" spans="2:22" x14ac:dyDescent="0.15">
      <c r="B34">
        <v>25</v>
      </c>
      <c r="C34">
        <v>778</v>
      </c>
      <c r="D34" s="22">
        <v>0.01</v>
      </c>
      <c r="E34" s="22">
        <v>0.09</v>
      </c>
      <c r="F34" s="15">
        <f t="shared" si="3"/>
        <v>9.9999999999999992E-2</v>
      </c>
      <c r="G34">
        <f t="shared" si="0"/>
        <v>1167</v>
      </c>
      <c r="H34" s="16">
        <f t="shared" si="1"/>
        <v>19.45</v>
      </c>
      <c r="I34" s="17">
        <f t="shared" si="2"/>
        <v>6.4833333333333343</v>
      </c>
      <c r="J34" s="17">
        <f t="shared" si="4"/>
        <v>0.64833333333333332</v>
      </c>
      <c r="K34" s="17">
        <f t="shared" si="5"/>
        <v>5.835</v>
      </c>
      <c r="L34" s="15">
        <f t="shared" si="6"/>
        <v>0.3</v>
      </c>
      <c r="N34" s="17">
        <f t="shared" si="7"/>
        <v>6.4833333333333334</v>
      </c>
      <c r="O34" s="17">
        <f t="shared" si="8"/>
        <v>0</v>
      </c>
      <c r="Q34" s="17">
        <f t="shared" si="9"/>
        <v>2.9175</v>
      </c>
      <c r="R34" s="17">
        <f t="shared" si="10"/>
        <v>0.64833333333333332</v>
      </c>
      <c r="S34" s="17">
        <f t="shared" si="11"/>
        <v>16.532499999999999</v>
      </c>
      <c r="T34" s="17">
        <f t="shared" si="12"/>
        <v>16.532499999999999</v>
      </c>
      <c r="U34" s="17">
        <f t="shared" si="13"/>
        <v>0</v>
      </c>
      <c r="V34" s="17">
        <f t="shared" si="14"/>
        <v>991.94999999999993</v>
      </c>
    </row>
    <row r="35" spans="2:22" x14ac:dyDescent="0.15">
      <c r="B35">
        <v>26</v>
      </c>
      <c r="C35">
        <v>632</v>
      </c>
      <c r="D35" s="22">
        <v>0.01</v>
      </c>
      <c r="E35" s="22">
        <v>0.05</v>
      </c>
      <c r="F35" s="15">
        <f t="shared" si="3"/>
        <v>6.0000000000000005E-2</v>
      </c>
      <c r="G35">
        <f t="shared" si="0"/>
        <v>821.6</v>
      </c>
      <c r="H35" s="16">
        <f t="shared" si="1"/>
        <v>13.693333333333333</v>
      </c>
      <c r="I35" s="17">
        <f t="shared" si="2"/>
        <v>3.16</v>
      </c>
      <c r="J35" s="17">
        <f t="shared" si="4"/>
        <v>0.52666666666666673</v>
      </c>
      <c r="K35" s="17">
        <f t="shared" si="5"/>
        <v>2.6333333333333333</v>
      </c>
      <c r="L35" s="15">
        <f t="shared" si="6"/>
        <v>0.19230769230769232</v>
      </c>
      <c r="N35" s="17">
        <f t="shared" si="7"/>
        <v>3.16</v>
      </c>
      <c r="O35" s="17">
        <f t="shared" si="8"/>
        <v>0</v>
      </c>
      <c r="Q35" s="17">
        <f t="shared" si="9"/>
        <v>1.3166666666666667</v>
      </c>
      <c r="R35" s="17">
        <f t="shared" si="10"/>
        <v>0.52666666666666673</v>
      </c>
      <c r="S35" s="17">
        <f t="shared" si="11"/>
        <v>12.376666666666667</v>
      </c>
      <c r="T35" s="17">
        <f t="shared" si="12"/>
        <v>12.376666666666667</v>
      </c>
      <c r="U35" s="17">
        <f t="shared" si="13"/>
        <v>0</v>
      </c>
      <c r="V35" s="17">
        <f t="shared" si="14"/>
        <v>742.6</v>
      </c>
    </row>
    <row r="36" spans="2:22" x14ac:dyDescent="0.15">
      <c r="B36">
        <v>27</v>
      </c>
      <c r="C36">
        <v>986</v>
      </c>
      <c r="D36" s="22">
        <v>0.01</v>
      </c>
      <c r="E36" s="22">
        <v>0.06</v>
      </c>
      <c r="F36" s="15">
        <f t="shared" si="3"/>
        <v>6.9999999999999993E-2</v>
      </c>
      <c r="G36">
        <f t="shared" si="0"/>
        <v>1331.1000000000001</v>
      </c>
      <c r="H36" s="16">
        <f t="shared" si="1"/>
        <v>22.185000000000002</v>
      </c>
      <c r="I36" s="17">
        <f t="shared" si="2"/>
        <v>5.7516666666666687</v>
      </c>
      <c r="J36" s="17">
        <f t="shared" si="4"/>
        <v>0.82166666666666666</v>
      </c>
      <c r="K36" s="17">
        <f t="shared" si="5"/>
        <v>4.93</v>
      </c>
      <c r="L36" s="15">
        <f t="shared" si="6"/>
        <v>0.22222222222222218</v>
      </c>
      <c r="N36" s="17">
        <f t="shared" si="7"/>
        <v>5.751666666666666</v>
      </c>
      <c r="O36" s="17">
        <f t="shared" si="8"/>
        <v>0</v>
      </c>
      <c r="Q36" s="17">
        <f t="shared" si="9"/>
        <v>2.4649999999999999</v>
      </c>
      <c r="R36" s="17">
        <f t="shared" si="10"/>
        <v>0.82166666666666666</v>
      </c>
      <c r="S36" s="17">
        <f t="shared" si="11"/>
        <v>19.72</v>
      </c>
      <c r="T36" s="17">
        <f t="shared" si="12"/>
        <v>19.720000000000002</v>
      </c>
      <c r="U36" s="17">
        <f t="shared" si="13"/>
        <v>0</v>
      </c>
      <c r="V36" s="17">
        <f t="shared" si="14"/>
        <v>1183.1999999999998</v>
      </c>
    </row>
    <row r="37" spans="2:22" x14ac:dyDescent="0.15">
      <c r="B37">
        <v>28</v>
      </c>
      <c r="C37">
        <v>255</v>
      </c>
      <c r="D37" s="22">
        <v>0.01</v>
      </c>
      <c r="E37" s="22">
        <v>0.1</v>
      </c>
      <c r="F37" s="15">
        <f t="shared" si="3"/>
        <v>0.11</v>
      </c>
      <c r="G37">
        <f t="shared" si="0"/>
        <v>395.25</v>
      </c>
      <c r="H37" s="16">
        <f t="shared" si="1"/>
        <v>6.5875000000000004</v>
      </c>
      <c r="I37" s="17">
        <f t="shared" si="2"/>
        <v>2.3375000000000004</v>
      </c>
      <c r="J37" s="17">
        <f t="shared" si="4"/>
        <v>0.21250000000000002</v>
      </c>
      <c r="K37" s="17">
        <f t="shared" si="5"/>
        <v>2.125</v>
      </c>
      <c r="L37" s="15">
        <f t="shared" si="6"/>
        <v>0.32258064516129031</v>
      </c>
      <c r="N37" s="17">
        <f t="shared" si="7"/>
        <v>2.3374999999999999</v>
      </c>
      <c r="O37" s="17">
        <f t="shared" si="8"/>
        <v>0</v>
      </c>
      <c r="Q37" s="17">
        <f t="shared" si="9"/>
        <v>1.0625</v>
      </c>
      <c r="R37" s="17">
        <f t="shared" si="10"/>
        <v>0.21250000000000002</v>
      </c>
      <c r="S37" s="17">
        <f t="shared" si="11"/>
        <v>5.5250000000000004</v>
      </c>
      <c r="T37" s="17">
        <f t="shared" si="12"/>
        <v>5.5250000000000004</v>
      </c>
      <c r="U37" s="17">
        <f t="shared" si="13"/>
        <v>0</v>
      </c>
      <c r="V37" s="17">
        <f t="shared" si="14"/>
        <v>331.5</v>
      </c>
    </row>
    <row r="38" spans="2:22" x14ac:dyDescent="0.15">
      <c r="B38">
        <v>29</v>
      </c>
      <c r="C38">
        <v>897</v>
      </c>
      <c r="D38" s="22">
        <v>0.01</v>
      </c>
      <c r="E38" s="22">
        <v>0.09</v>
      </c>
      <c r="F38" s="15">
        <f t="shared" si="3"/>
        <v>9.9999999999999992E-2</v>
      </c>
      <c r="G38">
        <f t="shared" si="0"/>
        <v>1345.5</v>
      </c>
      <c r="H38" s="16">
        <f t="shared" si="1"/>
        <v>22.425000000000001</v>
      </c>
      <c r="I38" s="17">
        <f t="shared" si="2"/>
        <v>7.4750000000000014</v>
      </c>
      <c r="J38" s="17">
        <f t="shared" si="4"/>
        <v>0.74750000000000005</v>
      </c>
      <c r="K38" s="17">
        <f t="shared" si="5"/>
        <v>6.7275</v>
      </c>
      <c r="L38" s="15">
        <f t="shared" si="6"/>
        <v>0.3</v>
      </c>
      <c r="N38" s="17">
        <f t="shared" si="7"/>
        <v>7.4749999999999996</v>
      </c>
      <c r="O38" s="17">
        <f t="shared" si="8"/>
        <v>0</v>
      </c>
      <c r="Q38" s="17">
        <f t="shared" si="9"/>
        <v>3.36375</v>
      </c>
      <c r="R38" s="17">
        <f t="shared" si="10"/>
        <v>0.74750000000000005</v>
      </c>
      <c r="S38" s="17">
        <f t="shared" si="11"/>
        <v>19.061250000000001</v>
      </c>
      <c r="T38" s="17">
        <f t="shared" si="12"/>
        <v>19.061249999999998</v>
      </c>
      <c r="U38" s="17">
        <f t="shared" si="13"/>
        <v>0</v>
      </c>
      <c r="V38" s="17">
        <f t="shared" si="14"/>
        <v>1143.6750000000002</v>
      </c>
    </row>
    <row r="39" spans="2:22" x14ac:dyDescent="0.15">
      <c r="B39">
        <v>30</v>
      </c>
      <c r="C39">
        <v>955</v>
      </c>
      <c r="D39" s="22">
        <v>0.01</v>
      </c>
      <c r="E39" s="22">
        <v>0.08</v>
      </c>
      <c r="F39" s="15">
        <f t="shared" si="3"/>
        <v>0.09</v>
      </c>
      <c r="G39">
        <f t="shared" si="0"/>
        <v>1384.75</v>
      </c>
      <c r="H39" s="16">
        <f t="shared" si="1"/>
        <v>23.079166666666666</v>
      </c>
      <c r="I39" s="17">
        <f t="shared" si="2"/>
        <v>7.1624999999999996</v>
      </c>
      <c r="J39" s="17">
        <f t="shared" si="4"/>
        <v>0.79583333333333339</v>
      </c>
      <c r="K39" s="17">
        <f t="shared" si="5"/>
        <v>6.3666666666666671</v>
      </c>
      <c r="L39" s="15">
        <f t="shared" si="6"/>
        <v>0.27586206896551729</v>
      </c>
      <c r="N39" s="17">
        <f t="shared" si="7"/>
        <v>7.1625000000000005</v>
      </c>
      <c r="O39" s="17">
        <f t="shared" si="8"/>
        <v>0</v>
      </c>
      <c r="Q39" s="17">
        <f t="shared" si="9"/>
        <v>3.1833333333333336</v>
      </c>
      <c r="R39" s="17">
        <f t="shared" si="10"/>
        <v>0.79583333333333339</v>
      </c>
      <c r="S39" s="17">
        <f t="shared" si="11"/>
        <v>19.895833333333332</v>
      </c>
      <c r="T39" s="17">
        <f t="shared" si="12"/>
        <v>19.895833333333336</v>
      </c>
      <c r="U39" s="17">
        <f t="shared" si="13"/>
        <v>0</v>
      </c>
      <c r="V39" s="17">
        <f t="shared" si="14"/>
        <v>1193.75</v>
      </c>
    </row>
    <row r="41" spans="2:22" x14ac:dyDescent="0.15">
      <c r="C41" s="19">
        <f>SUM(C10:C39)</f>
        <v>19021</v>
      </c>
    </row>
    <row r="42" spans="2:22" x14ac:dyDescent="0.15">
      <c r="C42" s="45">
        <f>AVERAGE(C10:C39)</f>
        <v>634.0333333333333</v>
      </c>
      <c r="D42">
        <f t="shared" ref="D42:L42" si="15">AVERAGE(D10:D39)</f>
        <v>1.0000000000000004E-2</v>
      </c>
      <c r="E42" s="15">
        <f t="shared" si="15"/>
        <v>6.4666666666666692E-2</v>
      </c>
      <c r="F42" s="15">
        <f t="shared" si="15"/>
        <v>7.4666666666666687E-2</v>
      </c>
      <c r="G42" s="45">
        <f t="shared" si="15"/>
        <v>872.98166666666657</v>
      </c>
      <c r="H42">
        <f t="shared" si="15"/>
        <v>14.549694444444443</v>
      </c>
      <c r="I42">
        <f t="shared" si="15"/>
        <v>3.9824722222222229</v>
      </c>
      <c r="J42">
        <f t="shared" si="15"/>
        <v>0.52836111111111117</v>
      </c>
      <c r="K42">
        <f t="shared" si="15"/>
        <v>3.454111111111112</v>
      </c>
      <c r="L42">
        <f t="shared" si="15"/>
        <v>0.2247621591114361</v>
      </c>
      <c r="S42" s="44">
        <f>AVERAGE(S10:S39)</f>
        <v>12.822638888888887</v>
      </c>
      <c r="T42" s="17"/>
      <c r="U42" s="17"/>
      <c r="V42" s="44">
        <f t="shared" ref="V42" si="16">AVERAGE(V10:V39)</f>
        <v>769.35833333333335</v>
      </c>
    </row>
    <row r="43" spans="2:22" x14ac:dyDescent="0.15">
      <c r="S43">
        <f>12*S42</f>
        <v>153.87166666666664</v>
      </c>
    </row>
    <row r="44" spans="2:22" ht="28" customHeight="1" x14ac:dyDescent="0.15">
      <c r="C44" s="20">
        <f>C41*100000</f>
        <v>1902100000</v>
      </c>
      <c r="H44" s="46" t="s">
        <v>152</v>
      </c>
      <c r="I44" s="46"/>
      <c r="K44" s="46" t="s">
        <v>147</v>
      </c>
      <c r="L44" s="46"/>
    </row>
    <row r="46" spans="2:22" ht="42" x14ac:dyDescent="0.15">
      <c r="E46" s="23" t="s">
        <v>134</v>
      </c>
      <c r="F46">
        <v>0.5</v>
      </c>
      <c r="H46" s="23" t="s">
        <v>131</v>
      </c>
      <c r="I46" s="44">
        <f>SUM(K10:K39)</f>
        <v>103.62333333333336</v>
      </c>
      <c r="O46" s="24" t="s">
        <v>185</v>
      </c>
      <c r="P46" s="24" t="s">
        <v>184</v>
      </c>
    </row>
    <row r="47" spans="2:22" ht="14" x14ac:dyDescent="0.15">
      <c r="E47" s="23" t="s">
        <v>130</v>
      </c>
      <c r="F47">
        <v>0.5</v>
      </c>
      <c r="H47" s="23" t="s">
        <v>132</v>
      </c>
      <c r="I47" s="16">
        <f>SUM(H10:H39)</f>
        <v>436.49083333333328</v>
      </c>
      <c r="K47" s="23" t="s">
        <v>150</v>
      </c>
      <c r="L47" s="44">
        <f>SUM(S10:S39)</f>
        <v>384.67916666666662</v>
      </c>
      <c r="N47" s="23" t="s">
        <v>183</v>
      </c>
      <c r="O47">
        <f>F46*I46</f>
        <v>51.811666666666682</v>
      </c>
      <c r="P47">
        <f>J59*J60*L47</f>
        <v>51.811666666666689</v>
      </c>
    </row>
    <row r="48" spans="2:22" x14ac:dyDescent="0.15">
      <c r="E48" s="23"/>
      <c r="H48" s="23"/>
      <c r="I48" s="15"/>
      <c r="K48" s="23"/>
      <c r="L48" s="25"/>
      <c r="O48" s="20"/>
    </row>
    <row r="49" spans="4:25" ht="28" x14ac:dyDescent="0.15">
      <c r="E49" t="s">
        <v>182</v>
      </c>
      <c r="F49" s="37">
        <f>J78/SUM(J70:N70)</f>
        <v>0.1</v>
      </c>
      <c r="H49" s="23"/>
      <c r="K49" s="23"/>
    </row>
    <row r="50" spans="4:25" x14ac:dyDescent="0.15">
      <c r="H50" s="23"/>
      <c r="K50" s="23"/>
    </row>
    <row r="51" spans="4:25" x14ac:dyDescent="0.15">
      <c r="H51" s="23"/>
      <c r="K51" s="23"/>
      <c r="R51" s="23"/>
    </row>
    <row r="52" spans="4:25" x14ac:dyDescent="0.15">
      <c r="E52" s="29"/>
      <c r="F52" s="32"/>
      <c r="G52" s="32"/>
      <c r="H52">
        <f>H42*60</f>
        <v>872.98166666666657</v>
      </c>
      <c r="I52" s="23"/>
      <c r="J52" s="23"/>
      <c r="K52" s="23"/>
    </row>
    <row r="53" spans="4:25" x14ac:dyDescent="0.15">
      <c r="E53" s="12"/>
      <c r="F53" s="12"/>
      <c r="J53" s="46" t="s">
        <v>154</v>
      </c>
      <c r="K53" s="46"/>
      <c r="L53" s="46"/>
      <c r="M53" s="46"/>
      <c r="N53" s="46"/>
      <c r="R53" s="24"/>
      <c r="S53" s="24"/>
      <c r="T53" s="24"/>
      <c r="U53" s="24"/>
      <c r="V53" s="24"/>
      <c r="W53" s="24"/>
      <c r="X53" s="24"/>
    </row>
    <row r="54" spans="4:25" ht="14" x14ac:dyDescent="0.15">
      <c r="D54" s="24"/>
      <c r="E54" s="11"/>
      <c r="F54" s="13"/>
      <c r="I54" s="23" t="s">
        <v>175</v>
      </c>
      <c r="J54" s="23">
        <v>1</v>
      </c>
      <c r="K54" s="23">
        <v>2</v>
      </c>
      <c r="L54" s="23">
        <v>3</v>
      </c>
      <c r="M54" s="23">
        <v>4</v>
      </c>
      <c r="N54" s="23">
        <v>5</v>
      </c>
      <c r="S54" s="38"/>
      <c r="U54" s="17"/>
      <c r="V54" s="19"/>
      <c r="W54" s="20"/>
      <c r="X54" s="39"/>
    </row>
    <row r="55" spans="4:25" ht="14" x14ac:dyDescent="0.15">
      <c r="E55" s="11"/>
      <c r="F55" s="14"/>
      <c r="I55" t="s">
        <v>131</v>
      </c>
      <c r="J55" s="17">
        <f>I46</f>
        <v>103.62333333333336</v>
      </c>
      <c r="K55" s="17">
        <f t="shared" ref="K55:N64" si="17">J55</f>
        <v>103.62333333333336</v>
      </c>
      <c r="L55" s="17">
        <f t="shared" si="17"/>
        <v>103.62333333333336</v>
      </c>
      <c r="M55" s="17">
        <f t="shared" si="17"/>
        <v>103.62333333333336</v>
      </c>
      <c r="N55" s="17">
        <f t="shared" si="17"/>
        <v>103.62333333333336</v>
      </c>
      <c r="S55" s="38"/>
      <c r="U55" s="17"/>
      <c r="V55" s="19"/>
      <c r="W55" s="20"/>
      <c r="X55" s="39"/>
    </row>
    <row r="56" spans="4:25" ht="14" x14ac:dyDescent="0.15">
      <c r="I56" t="s">
        <v>132</v>
      </c>
      <c r="J56" s="17">
        <f>L47</f>
        <v>384.67916666666662</v>
      </c>
      <c r="K56" s="17">
        <f t="shared" si="17"/>
        <v>384.67916666666662</v>
      </c>
      <c r="L56" s="17">
        <f t="shared" si="17"/>
        <v>384.67916666666662</v>
      </c>
      <c r="M56" s="17">
        <f t="shared" si="17"/>
        <v>384.67916666666662</v>
      </c>
      <c r="N56" s="17">
        <f t="shared" si="17"/>
        <v>384.67916666666662</v>
      </c>
      <c r="O56" s="20"/>
      <c r="S56" s="38"/>
      <c r="U56" s="17"/>
      <c r="V56" s="19"/>
      <c r="W56" s="20"/>
      <c r="X56" s="39"/>
    </row>
    <row r="57" spans="4:25" ht="14" x14ac:dyDescent="0.15">
      <c r="E57" s="10"/>
      <c r="F57" s="13"/>
      <c r="G57" s="19"/>
      <c r="I57" s="30" t="s">
        <v>167</v>
      </c>
      <c r="J57">
        <f>J55*12</f>
        <v>1243.4800000000005</v>
      </c>
      <c r="K57">
        <f t="shared" si="17"/>
        <v>1243.4800000000005</v>
      </c>
      <c r="L57">
        <f t="shared" si="17"/>
        <v>1243.4800000000005</v>
      </c>
      <c r="M57">
        <f t="shared" si="17"/>
        <v>1243.4800000000005</v>
      </c>
      <c r="N57">
        <f t="shared" si="17"/>
        <v>1243.4800000000005</v>
      </c>
    </row>
    <row r="58" spans="4:25" ht="14" x14ac:dyDescent="0.15">
      <c r="E58" s="10"/>
      <c r="F58" s="13"/>
      <c r="G58" s="19"/>
      <c r="I58" s="30" t="s">
        <v>168</v>
      </c>
      <c r="J58">
        <f>L47*12</f>
        <v>4616.1499999999996</v>
      </c>
      <c r="K58">
        <f t="shared" si="17"/>
        <v>4616.1499999999996</v>
      </c>
      <c r="L58">
        <f t="shared" si="17"/>
        <v>4616.1499999999996</v>
      </c>
      <c r="M58">
        <f t="shared" si="17"/>
        <v>4616.1499999999996</v>
      </c>
      <c r="N58">
        <f t="shared" si="17"/>
        <v>4616.1499999999996</v>
      </c>
    </row>
    <row r="59" spans="4:25" ht="14" x14ac:dyDescent="0.15">
      <c r="E59" s="10"/>
      <c r="F59" s="13"/>
      <c r="G59" s="20"/>
      <c r="I59" t="s">
        <v>129</v>
      </c>
      <c r="J59" s="25">
        <f>J55/J56</f>
        <v>0.26937599514747151</v>
      </c>
      <c r="K59" s="25">
        <f t="shared" si="17"/>
        <v>0.26937599514747151</v>
      </c>
      <c r="L59" s="25">
        <f t="shared" si="17"/>
        <v>0.26937599514747151</v>
      </c>
      <c r="M59" s="25">
        <f t="shared" si="17"/>
        <v>0.26937599514747151</v>
      </c>
      <c r="N59" s="25">
        <f t="shared" si="17"/>
        <v>0.26937599514747151</v>
      </c>
      <c r="T59" s="20"/>
    </row>
    <row r="60" spans="4:25" ht="14" x14ac:dyDescent="0.15">
      <c r="E60" s="10"/>
      <c r="F60" s="13"/>
      <c r="G60" s="20"/>
      <c r="I60" t="s">
        <v>176</v>
      </c>
      <c r="J60">
        <f>$F$46</f>
        <v>0.5</v>
      </c>
      <c r="K60">
        <f t="shared" si="17"/>
        <v>0.5</v>
      </c>
      <c r="L60">
        <f t="shared" si="17"/>
        <v>0.5</v>
      </c>
      <c r="M60">
        <f t="shared" si="17"/>
        <v>0.5</v>
      </c>
      <c r="N60">
        <f t="shared" si="17"/>
        <v>0.5</v>
      </c>
      <c r="T60" s="20"/>
    </row>
    <row r="61" spans="4:25" ht="14" x14ac:dyDescent="0.15">
      <c r="E61" s="10"/>
      <c r="F61" s="13"/>
      <c r="G61" s="15"/>
      <c r="I61" t="s">
        <v>171</v>
      </c>
      <c r="J61">
        <v>12</v>
      </c>
      <c r="K61">
        <f>J61</f>
        <v>12</v>
      </c>
      <c r="L61">
        <f t="shared" si="17"/>
        <v>12</v>
      </c>
      <c r="M61">
        <f t="shared" si="17"/>
        <v>12</v>
      </c>
      <c r="N61">
        <f t="shared" si="17"/>
        <v>12</v>
      </c>
      <c r="S61" s="24"/>
      <c r="T61" s="24"/>
      <c r="U61" s="24"/>
      <c r="V61" s="24"/>
      <c r="W61" s="24"/>
      <c r="X61" s="24"/>
      <c r="Y61" s="24"/>
    </row>
    <row r="62" spans="4:25" ht="14" x14ac:dyDescent="0.15">
      <c r="E62" s="10"/>
      <c r="F62" s="13"/>
      <c r="I62" t="s">
        <v>133</v>
      </c>
      <c r="J62">
        <f>$F$46*J61</f>
        <v>6</v>
      </c>
      <c r="K62">
        <f>J62</f>
        <v>6</v>
      </c>
      <c r="L62">
        <f t="shared" si="17"/>
        <v>6</v>
      </c>
      <c r="M62">
        <f t="shared" si="17"/>
        <v>6</v>
      </c>
      <c r="N62">
        <f t="shared" si="17"/>
        <v>6</v>
      </c>
      <c r="S62" s="38"/>
      <c r="U62" s="17"/>
      <c r="V62" s="19"/>
      <c r="W62" s="20"/>
      <c r="X62" s="39"/>
      <c r="Y62" s="22"/>
    </row>
    <row r="63" spans="4:25" ht="14" x14ac:dyDescent="0.15">
      <c r="E63" s="10"/>
      <c r="F63" s="13"/>
      <c r="G63" s="21"/>
      <c r="I63" t="s">
        <v>134</v>
      </c>
      <c r="J63">
        <f>$F$46</f>
        <v>0.5</v>
      </c>
      <c r="K63">
        <f>J63</f>
        <v>0.5</v>
      </c>
      <c r="L63">
        <f t="shared" si="17"/>
        <v>0.5</v>
      </c>
      <c r="M63">
        <f t="shared" si="17"/>
        <v>0.5</v>
      </c>
      <c r="N63">
        <f t="shared" si="17"/>
        <v>0.5</v>
      </c>
      <c r="S63" s="38"/>
      <c r="U63" s="17"/>
      <c r="V63" s="19"/>
      <c r="W63" s="20"/>
      <c r="X63" s="39"/>
      <c r="Y63" s="22"/>
    </row>
    <row r="64" spans="4:25" ht="14" x14ac:dyDescent="0.15">
      <c r="E64" s="10"/>
      <c r="F64" s="13"/>
      <c r="I64" s="42" t="s">
        <v>130</v>
      </c>
      <c r="J64" s="42">
        <v>0.5</v>
      </c>
      <c r="K64" s="42">
        <f>J64</f>
        <v>0.5</v>
      </c>
      <c r="L64" s="42">
        <f t="shared" si="17"/>
        <v>0.5</v>
      </c>
      <c r="M64" s="42">
        <f t="shared" si="17"/>
        <v>0.5</v>
      </c>
      <c r="N64" s="42">
        <f t="shared" si="17"/>
        <v>0.5</v>
      </c>
      <c r="S64" s="38"/>
      <c r="U64" s="17"/>
      <c r="V64" s="19"/>
      <c r="W64" s="20"/>
      <c r="X64" s="39"/>
      <c r="Y64" s="22"/>
    </row>
    <row r="65" spans="1:25" ht="28" x14ac:dyDescent="0.15">
      <c r="E65" s="10"/>
      <c r="F65" s="13"/>
      <c r="G65" s="20"/>
      <c r="I65" s="30" t="s">
        <v>165</v>
      </c>
      <c r="J65" s="17">
        <f>$S$42</f>
        <v>12.822638888888887</v>
      </c>
      <c r="K65" s="17">
        <f>J65</f>
        <v>12.822638888888887</v>
      </c>
      <c r="L65" s="17">
        <f>K65</f>
        <v>12.822638888888887</v>
      </c>
      <c r="M65" s="17">
        <f>L65</f>
        <v>12.822638888888887</v>
      </c>
      <c r="N65" s="17">
        <f>M65</f>
        <v>12.822638888888887</v>
      </c>
      <c r="U65" s="17"/>
      <c r="V65" s="19"/>
      <c r="W65" s="20"/>
      <c r="X65" s="39"/>
      <c r="Y65" s="22"/>
    </row>
    <row r="66" spans="1:25" x14ac:dyDescent="0.15">
      <c r="F66" s="13"/>
      <c r="G66" s="20"/>
      <c r="O66" s="20"/>
      <c r="P66" s="15"/>
      <c r="U66" s="17"/>
      <c r="V66" s="19"/>
      <c r="W66" s="20"/>
      <c r="X66" s="39"/>
      <c r="Y66" s="22"/>
    </row>
    <row r="67" spans="1:25" x14ac:dyDescent="0.15">
      <c r="F67" s="13"/>
      <c r="G67" s="20"/>
      <c r="O67" s="20"/>
    </row>
    <row r="68" spans="1:25" ht="14" x14ac:dyDescent="0.15">
      <c r="F68" s="13"/>
      <c r="G68" s="20"/>
      <c r="I68" s="23" t="s">
        <v>156</v>
      </c>
      <c r="J68" s="23">
        <v>1</v>
      </c>
      <c r="K68" s="23">
        <v>2</v>
      </c>
      <c r="L68" s="23">
        <v>3</v>
      </c>
      <c r="M68" s="23">
        <v>4</v>
      </c>
      <c r="N68" s="23">
        <v>5</v>
      </c>
    </row>
    <row r="69" spans="1:25" x14ac:dyDescent="0.15">
      <c r="F69" s="13"/>
      <c r="G69" s="15"/>
    </row>
    <row r="70" spans="1:25" ht="28" x14ac:dyDescent="0.15">
      <c r="F70" s="22"/>
      <c r="I70" s="24" t="s">
        <v>157</v>
      </c>
      <c r="J70" s="20">
        <f>J63*J61*J55</f>
        <v>621.74000000000024</v>
      </c>
      <c r="K70" s="20">
        <f>K63*K61*K55</f>
        <v>621.74000000000024</v>
      </c>
      <c r="L70" s="20">
        <f>L63*L61*L55</f>
        <v>621.74000000000024</v>
      </c>
      <c r="M70" s="20">
        <f>M63*M61*M55</f>
        <v>621.74000000000024</v>
      </c>
      <c r="N70" s="20">
        <f>N63*N61*N55</f>
        <v>621.74000000000024</v>
      </c>
      <c r="P70" t="s">
        <v>297</v>
      </c>
      <c r="Q70" s="21">
        <f>N70/C41</f>
        <v>3.2687030124599142E-2</v>
      </c>
      <c r="T70" t="s">
        <v>134</v>
      </c>
      <c r="U70" t="s">
        <v>298</v>
      </c>
      <c r="V70" t="s">
        <v>299</v>
      </c>
    </row>
    <row r="71" spans="1:25" ht="14" x14ac:dyDescent="0.15">
      <c r="F71" s="20"/>
      <c r="I71" s="24" t="s">
        <v>180</v>
      </c>
      <c r="J71" s="20">
        <f>J59*J62*J56</f>
        <v>621.74000000000024</v>
      </c>
      <c r="K71" s="20">
        <f>K59*K62*K56</f>
        <v>621.74000000000024</v>
      </c>
      <c r="L71" s="20">
        <f>L59*L62*L56</f>
        <v>621.74000000000024</v>
      </c>
      <c r="M71" s="20">
        <f>M59*M62*M56</f>
        <v>621.74000000000024</v>
      </c>
      <c r="N71" s="20">
        <f>N59*N62*N56</f>
        <v>621.74000000000024</v>
      </c>
      <c r="T71" s="22">
        <v>0.1</v>
      </c>
      <c r="U71" s="25">
        <v>6.5374060249198283E-3</v>
      </c>
      <c r="V71">
        <f>T71/U71</f>
        <v>15.296586997780416</v>
      </c>
    </row>
    <row r="72" spans="1:25" x14ac:dyDescent="0.15">
      <c r="T72" s="22">
        <v>0.15</v>
      </c>
      <c r="U72" s="25">
        <v>9.8061090373797403E-3</v>
      </c>
      <c r="V72">
        <f t="shared" ref="V72:V84" si="18">T72/U72</f>
        <v>15.29658699778042</v>
      </c>
    </row>
    <row r="73" spans="1:25" ht="14" x14ac:dyDescent="0.15">
      <c r="I73" s="24" t="s">
        <v>158</v>
      </c>
      <c r="J73" s="17">
        <f>J64*J71</f>
        <v>310.87000000000012</v>
      </c>
      <c r="K73" s="17">
        <f t="shared" ref="K73:N73" si="19">K64*K71</f>
        <v>310.87000000000012</v>
      </c>
      <c r="L73" s="17">
        <f t="shared" si="19"/>
        <v>310.87000000000012</v>
      </c>
      <c r="M73" s="17">
        <f t="shared" si="19"/>
        <v>310.87000000000012</v>
      </c>
      <c r="N73" s="17">
        <f t="shared" si="19"/>
        <v>310.87000000000012</v>
      </c>
      <c r="T73" s="22">
        <v>0.2</v>
      </c>
      <c r="U73" s="25">
        <v>1.3074812049839657E-2</v>
      </c>
      <c r="V73">
        <f t="shared" si="18"/>
        <v>15.296586997780416</v>
      </c>
    </row>
    <row r="74" spans="1:25" ht="14" x14ac:dyDescent="0.15">
      <c r="A74" s="10"/>
      <c r="I74" s="24" t="s">
        <v>172</v>
      </c>
      <c r="J74" s="17">
        <f>J73</f>
        <v>310.87000000000012</v>
      </c>
      <c r="K74" s="19">
        <f>K73+J74</f>
        <v>621.74000000000024</v>
      </c>
      <c r="L74" s="19">
        <f>L73+K74</f>
        <v>932.61000000000035</v>
      </c>
      <c r="M74" s="19">
        <f>M73+L74</f>
        <v>1243.4800000000005</v>
      </c>
      <c r="N74" s="19">
        <f>N73+M74</f>
        <v>1554.3500000000006</v>
      </c>
      <c r="T74" s="22">
        <v>0.25</v>
      </c>
      <c r="U74" s="25">
        <v>1.6343515062299571E-2</v>
      </c>
      <c r="V74">
        <f t="shared" si="18"/>
        <v>15.296586997780416</v>
      </c>
      <c r="W74" s="21"/>
    </row>
    <row r="75" spans="1:25" x14ac:dyDescent="0.15">
      <c r="P75" s="24"/>
      <c r="T75" s="22">
        <v>0.3</v>
      </c>
      <c r="U75" s="25">
        <v>1.9612218074759481E-2</v>
      </c>
      <c r="V75">
        <f t="shared" si="18"/>
        <v>15.29658699778042</v>
      </c>
    </row>
    <row r="76" spans="1:25" ht="28" x14ac:dyDescent="0.15">
      <c r="E76" s="11"/>
      <c r="I76" s="30" t="s">
        <v>181</v>
      </c>
      <c r="J76" s="19">
        <f>J70</f>
        <v>621.74000000000024</v>
      </c>
      <c r="K76" s="19">
        <f>K70+J74</f>
        <v>932.61000000000035</v>
      </c>
      <c r="L76" s="19">
        <f>L70+K74</f>
        <v>1243.4800000000005</v>
      </c>
      <c r="M76" s="19">
        <f>M70+L74</f>
        <v>1554.3500000000006</v>
      </c>
      <c r="N76" s="19">
        <f>N70+M74</f>
        <v>1865.2200000000007</v>
      </c>
      <c r="T76" s="22">
        <v>0.35</v>
      </c>
      <c r="U76" s="25">
        <v>2.2880921087219393E-2</v>
      </c>
      <c r="V76">
        <f t="shared" si="18"/>
        <v>15.29658699778042</v>
      </c>
    </row>
    <row r="77" spans="1:25" x14ac:dyDescent="0.15">
      <c r="T77" s="22">
        <v>0.4</v>
      </c>
      <c r="U77" s="25">
        <v>2.6149624099679313E-2</v>
      </c>
      <c r="V77">
        <f t="shared" si="18"/>
        <v>15.296586997780416</v>
      </c>
    </row>
    <row r="78" spans="1:25" ht="14" x14ac:dyDescent="0.15">
      <c r="I78" t="s">
        <v>145</v>
      </c>
      <c r="J78" s="20">
        <f>J71-J73</f>
        <v>310.87000000000012</v>
      </c>
      <c r="K78" s="20">
        <f>K71-K73</f>
        <v>310.87000000000012</v>
      </c>
      <c r="L78" s="20">
        <f>L71-L73</f>
        <v>310.87000000000012</v>
      </c>
      <c r="M78" s="20">
        <f>M71-M73</f>
        <v>310.87000000000012</v>
      </c>
      <c r="N78" s="20">
        <f>N71-N73</f>
        <v>310.87000000000012</v>
      </c>
      <c r="T78" s="22">
        <v>0.45</v>
      </c>
      <c r="U78" s="25">
        <v>2.9418327112139223E-2</v>
      </c>
      <c r="V78">
        <f t="shared" si="18"/>
        <v>15.29658699778042</v>
      </c>
    </row>
    <row r="79" spans="1:25" ht="28" x14ac:dyDescent="0.15">
      <c r="I79" t="s">
        <v>186</v>
      </c>
      <c r="J79" s="20">
        <f>J78/30</f>
        <v>10.362333333333337</v>
      </c>
      <c r="K79" s="20">
        <f t="shared" ref="K79:N79" si="20">K78/30</f>
        <v>10.362333333333337</v>
      </c>
      <c r="L79" s="20">
        <f t="shared" si="20"/>
        <v>10.362333333333337</v>
      </c>
      <c r="M79" s="20">
        <f t="shared" si="20"/>
        <v>10.362333333333337</v>
      </c>
      <c r="N79" s="20">
        <f t="shared" si="20"/>
        <v>10.362333333333337</v>
      </c>
      <c r="T79" s="22">
        <v>0.5</v>
      </c>
      <c r="U79" s="25">
        <v>3.2687030124599142E-2</v>
      </c>
      <c r="V79">
        <f t="shared" si="18"/>
        <v>15.296586997780416</v>
      </c>
      <c r="W79" s="21"/>
    </row>
    <row r="80" spans="1:25" ht="14" x14ac:dyDescent="0.15">
      <c r="D80" s="11" t="s">
        <v>177</v>
      </c>
      <c r="I80" t="s">
        <v>173</v>
      </c>
      <c r="J80" s="15">
        <f>J78/J70</f>
        <v>0.5</v>
      </c>
      <c r="K80" s="15">
        <f>K78/K70</f>
        <v>0.5</v>
      </c>
      <c r="L80" s="15">
        <f>L78/L70</f>
        <v>0.5</v>
      </c>
      <c r="M80" s="15">
        <f>M78/M70</f>
        <v>0.5</v>
      </c>
      <c r="N80" s="15">
        <f>N78/N70</f>
        <v>0.5</v>
      </c>
      <c r="T80" s="22">
        <v>0.55000000000000004</v>
      </c>
      <c r="U80" s="25">
        <v>3.5955733137059048E-2</v>
      </c>
      <c r="V80">
        <f t="shared" si="18"/>
        <v>15.29658699778042</v>
      </c>
    </row>
    <row r="81" spans="4:34" x14ac:dyDescent="0.15">
      <c r="D81" s="11" t="s">
        <v>178</v>
      </c>
      <c r="T81" s="22">
        <v>0.6</v>
      </c>
      <c r="U81" s="25">
        <v>3.9224436149518961E-2</v>
      </c>
      <c r="V81">
        <f t="shared" si="18"/>
        <v>15.29658699778042</v>
      </c>
    </row>
    <row r="82" spans="4:34" ht="28" x14ac:dyDescent="0.15">
      <c r="D82" s="11" t="s">
        <v>179</v>
      </c>
      <c r="I82" s="31" t="s">
        <v>193</v>
      </c>
      <c r="J82" s="20">
        <f>J76</f>
        <v>621.74000000000024</v>
      </c>
      <c r="K82" s="20">
        <f>K76</f>
        <v>932.61000000000035</v>
      </c>
      <c r="L82" s="20">
        <f>L76</f>
        <v>1243.4800000000005</v>
      </c>
      <c r="M82" s="20">
        <f>M76</f>
        <v>1554.3500000000006</v>
      </c>
      <c r="N82" s="20">
        <f>N76</f>
        <v>1865.2200000000007</v>
      </c>
      <c r="T82" s="22">
        <v>0.65</v>
      </c>
      <c r="U82" s="25">
        <v>4.2493139161978881E-2</v>
      </c>
      <c r="V82">
        <f>T82/U82</f>
        <v>15.296586997780418</v>
      </c>
    </row>
    <row r="83" spans="4:34" ht="14" x14ac:dyDescent="0.15">
      <c r="I83" s="33" t="s">
        <v>155</v>
      </c>
      <c r="J83" s="34">
        <f>J82/(J60 * J58)</f>
        <v>0.26937599514747151</v>
      </c>
      <c r="K83" s="34">
        <f>K82/(K60 * K58)</f>
        <v>0.40406399272120724</v>
      </c>
      <c r="L83" s="34">
        <f>L82/(L60 * L58)</f>
        <v>0.53875199029494303</v>
      </c>
      <c r="M83" s="34">
        <f>M82/(M60 * M58)</f>
        <v>0.67343998786867876</v>
      </c>
      <c r="N83" s="34">
        <f>N82/(N60 * N58)</f>
        <v>0.80812798544241449</v>
      </c>
      <c r="T83" s="22">
        <v>0.7</v>
      </c>
      <c r="U83" s="25">
        <v>4.5761842174438787E-2</v>
      </c>
      <c r="V83">
        <f t="shared" si="18"/>
        <v>15.29658699778042</v>
      </c>
    </row>
    <row r="84" spans="4:34" x14ac:dyDescent="0.15">
      <c r="T84" s="22">
        <v>0.75</v>
      </c>
      <c r="U84" s="25">
        <v>4.9030545186898707E-2</v>
      </c>
      <c r="V84">
        <f t="shared" si="18"/>
        <v>15.296586997780418</v>
      </c>
      <c r="W84" s="21"/>
    </row>
    <row r="85" spans="4:34" x14ac:dyDescent="0.15">
      <c r="R85" s="12"/>
    </row>
    <row r="86" spans="4:34" ht="28" x14ac:dyDescent="0.15">
      <c r="I86" s="30" t="s">
        <v>174</v>
      </c>
      <c r="J86" s="17">
        <f>J76/J62/J65</f>
        <v>8.081279854424146</v>
      </c>
      <c r="K86" s="17">
        <f>K76/K62/K65</f>
        <v>12.121919781636217</v>
      </c>
      <c r="L86" s="17">
        <f>L76/L62/L65</f>
        <v>16.162559708848292</v>
      </c>
      <c r="M86" s="17">
        <f>M76/M62/M65</f>
        <v>20.203199636060365</v>
      </c>
      <c r="N86" s="17">
        <f>N76/N62/N65</f>
        <v>24.243839563272434</v>
      </c>
    </row>
    <row r="87" spans="4:34" ht="14" x14ac:dyDescent="0.15">
      <c r="I87" s="30" t="s">
        <v>164</v>
      </c>
      <c r="J87" s="25">
        <f>J86/30</f>
        <v>0.26937599514747151</v>
      </c>
      <c r="K87" s="25">
        <f t="shared" ref="K87:N87" si="21">K86/30</f>
        <v>0.40406399272120724</v>
      </c>
      <c r="L87" s="25">
        <f t="shared" si="21"/>
        <v>0.53875199029494303</v>
      </c>
      <c r="M87" s="25">
        <f t="shared" si="21"/>
        <v>0.67343998786867887</v>
      </c>
      <c r="N87" s="25">
        <f t="shared" si="21"/>
        <v>0.80812798544241449</v>
      </c>
      <c r="R87" s="24"/>
      <c r="S87" s="20"/>
    </row>
    <row r="88" spans="4:34" ht="14" x14ac:dyDescent="0.15">
      <c r="I88" s="30" t="s">
        <v>166</v>
      </c>
      <c r="J88" s="17">
        <f>J87*J56</f>
        <v>103.62333333333338</v>
      </c>
      <c r="K88" s="17">
        <f>K87*K56</f>
        <v>155.43500000000006</v>
      </c>
      <c r="L88" s="17">
        <f>L87*L56</f>
        <v>207.24666666666675</v>
      </c>
      <c r="M88" s="17">
        <f>M87*M56</f>
        <v>259.05833333333345</v>
      </c>
      <c r="N88" s="17">
        <f>N87*N56</f>
        <v>310.87000000000012</v>
      </c>
      <c r="S88" s="20"/>
    </row>
    <row r="89" spans="4:34" x14ac:dyDescent="0.15">
      <c r="S89" s="20"/>
    </row>
    <row r="90" spans="4:34" ht="28" x14ac:dyDescent="0.15">
      <c r="I90" s="24" t="s">
        <v>169</v>
      </c>
      <c r="J90" s="20">
        <f>(J82/12)/J60</f>
        <v>103.62333333333338</v>
      </c>
      <c r="K90" s="20">
        <f>(K82/12)/K60</f>
        <v>155.43500000000006</v>
      </c>
      <c r="L90" s="20">
        <f>(L82/12)/L60</f>
        <v>207.24666666666675</v>
      </c>
      <c r="M90" s="20">
        <f>(M82/12)/M60</f>
        <v>259.05833333333345</v>
      </c>
      <c r="N90" s="20">
        <f>(N82/12)/N60</f>
        <v>310.87000000000012</v>
      </c>
      <c r="S90" s="27"/>
    </row>
    <row r="91" spans="4:34" ht="28" x14ac:dyDescent="0.15">
      <c r="I91" s="24" t="s">
        <v>170</v>
      </c>
      <c r="J91" s="25">
        <f>J76/(J58*J60)</f>
        <v>0.26937599514747151</v>
      </c>
      <c r="K91" s="25">
        <f>K76/(K58*K60)</f>
        <v>0.40406399272120724</v>
      </c>
      <c r="L91" s="25">
        <f>L76/(L58*L60)</f>
        <v>0.53875199029494303</v>
      </c>
      <c r="M91" s="25">
        <f>M76/(M58*M60)</f>
        <v>0.67343998786867876</v>
      </c>
      <c r="N91" s="25">
        <f>N76/(N58*N60)</f>
        <v>0.80812798544241449</v>
      </c>
      <c r="S91" s="20"/>
    </row>
    <row r="92" spans="4:34" x14ac:dyDescent="0.15">
      <c r="J92" s="28">
        <f>J91-J83</f>
        <v>0</v>
      </c>
      <c r="K92" s="28">
        <f>K91-K83</f>
        <v>0</v>
      </c>
      <c r="L92" s="28">
        <f>L91-L83</f>
        <v>0</v>
      </c>
      <c r="M92" s="28">
        <f>M91-M83</f>
        <v>0</v>
      </c>
      <c r="N92" s="28">
        <f>N91-N83</f>
        <v>0</v>
      </c>
      <c r="S92" s="20"/>
    </row>
    <row r="93" spans="4:34" x14ac:dyDescent="0.15">
      <c r="J93" s="28">
        <f>J90-J88</f>
        <v>0</v>
      </c>
      <c r="K93" s="28">
        <f>K90-K88</f>
        <v>0</v>
      </c>
      <c r="L93" s="28">
        <f>L90-L88</f>
        <v>0</v>
      </c>
      <c r="M93" s="28">
        <f>M90-M88</f>
        <v>0</v>
      </c>
      <c r="N93" s="28">
        <f>N90-N88</f>
        <v>0</v>
      </c>
      <c r="S93" s="20"/>
      <c r="V93" s="17"/>
    </row>
    <row r="94" spans="4:34" x14ac:dyDescent="0.15">
      <c r="S94" s="20"/>
      <c r="AD94" s="23"/>
      <c r="AE94" s="23"/>
      <c r="AF94" s="23"/>
      <c r="AG94" s="23"/>
      <c r="AH94" s="23"/>
    </row>
    <row r="95" spans="4:34" ht="14" x14ac:dyDescent="0.15">
      <c r="I95" s="24" t="s">
        <v>187</v>
      </c>
      <c r="J95">
        <f>MIN(J74,J60*J58-J63*J57)</f>
        <v>310.87000000000012</v>
      </c>
      <c r="K95">
        <f>MIN(K74,(K60*K58)-(K63*K57))</f>
        <v>621.74000000000024</v>
      </c>
      <c r="L95">
        <f>MIN(L74,(L60*L58)-(L63*L57))</f>
        <v>932.61000000000035</v>
      </c>
      <c r="M95">
        <f>MIN(M74,(M60*M58)-(M63*M57))</f>
        <v>1243.4800000000005</v>
      </c>
      <c r="N95">
        <f>MIN(N74,(N60*N58)-(N63*N57))</f>
        <v>1554.3500000000006</v>
      </c>
      <c r="R95" s="24"/>
      <c r="S95" s="22"/>
      <c r="AH95" s="23"/>
    </row>
    <row r="96" spans="4:34" ht="28" x14ac:dyDescent="0.15">
      <c r="I96" s="24" t="s">
        <v>189</v>
      </c>
      <c r="J96" s="35">
        <f>J70</f>
        <v>621.74000000000024</v>
      </c>
      <c r="K96" s="20">
        <f>J95+K70</f>
        <v>932.61000000000035</v>
      </c>
      <c r="L96" s="20">
        <f>K95+L70</f>
        <v>1243.4800000000005</v>
      </c>
      <c r="M96" s="20">
        <f>L95+M70</f>
        <v>1554.3500000000006</v>
      </c>
      <c r="N96" s="20">
        <f>M95+N70</f>
        <v>1865.2200000000007</v>
      </c>
    </row>
    <row r="97" spans="6:34" ht="14" x14ac:dyDescent="0.15">
      <c r="I97" s="36" t="s">
        <v>188</v>
      </c>
      <c r="J97" s="37">
        <f>J96/(J60*J58)</f>
        <v>0.26937599514747151</v>
      </c>
      <c r="K97" s="37">
        <f>K96/(K60*K58)</f>
        <v>0.40406399272120724</v>
      </c>
      <c r="L97" s="37">
        <f>L96/(L60*L58)</f>
        <v>0.53875199029494303</v>
      </c>
      <c r="M97" s="37">
        <f>M96/(M60*M58)</f>
        <v>0.67343998786867876</v>
      </c>
      <c r="N97" s="37">
        <f>N96/(N60*N58)</f>
        <v>0.80812798544241449</v>
      </c>
    </row>
    <row r="98" spans="6:34" x14ac:dyDescent="0.15">
      <c r="S98" s="20"/>
    </row>
    <row r="99" spans="6:34" ht="14" x14ac:dyDescent="0.15">
      <c r="I99" t="s">
        <v>190</v>
      </c>
      <c r="J99" s="17">
        <f>J74-J95</f>
        <v>0</v>
      </c>
      <c r="K99" s="17">
        <f>J74-J95</f>
        <v>0</v>
      </c>
      <c r="L99" s="17">
        <f t="shared" ref="L99:N99" si="22">K74-K95</f>
        <v>0</v>
      </c>
      <c r="M99" s="17">
        <f t="shared" si="22"/>
        <v>0</v>
      </c>
      <c r="N99" s="17">
        <f t="shared" si="22"/>
        <v>0</v>
      </c>
      <c r="S99" s="20"/>
      <c r="AH99" s="17"/>
    </row>
    <row r="100" spans="6:34" ht="14" x14ac:dyDescent="0.15">
      <c r="I100" t="s">
        <v>191</v>
      </c>
      <c r="J100" s="20">
        <f>J78+J99</f>
        <v>310.87000000000012</v>
      </c>
      <c r="K100" s="20">
        <f t="shared" ref="K100:N100" si="23">K78+K99</f>
        <v>310.87000000000012</v>
      </c>
      <c r="L100" s="20">
        <f t="shared" si="23"/>
        <v>310.87000000000012</v>
      </c>
      <c r="M100" s="20">
        <f t="shared" si="23"/>
        <v>310.87000000000012</v>
      </c>
      <c r="N100" s="20">
        <f t="shared" si="23"/>
        <v>310.87000000000012</v>
      </c>
      <c r="S100" s="18"/>
      <c r="AH100" s="17"/>
    </row>
    <row r="101" spans="6:34" x14ac:dyDescent="0.15">
      <c r="J101" s="20"/>
      <c r="K101" s="20"/>
      <c r="L101" s="20"/>
      <c r="M101" s="20"/>
      <c r="N101" s="20"/>
      <c r="S101" s="15"/>
      <c r="AH101" s="17"/>
    </row>
    <row r="102" spans="6:34" x14ac:dyDescent="0.15">
      <c r="J102" s="15"/>
      <c r="K102" s="15"/>
      <c r="L102" s="15"/>
      <c r="M102" s="15"/>
      <c r="N102" s="15"/>
      <c r="P102" s="18">
        <f>SUM(J102:N102)</f>
        <v>0</v>
      </c>
      <c r="S102" s="20"/>
      <c r="AH102" s="15"/>
    </row>
    <row r="103" spans="6:34" x14ac:dyDescent="0.15">
      <c r="J103" s="20"/>
      <c r="K103" s="20"/>
      <c r="L103" s="20"/>
      <c r="M103" s="20"/>
      <c r="N103" s="20"/>
      <c r="S103" s="20"/>
      <c r="AH103" s="17"/>
    </row>
    <row r="104" spans="6:34" x14ac:dyDescent="0.15">
      <c r="S104" s="15"/>
    </row>
    <row r="105" spans="6:34" ht="28" x14ac:dyDescent="0.15">
      <c r="I105" t="s">
        <v>262</v>
      </c>
      <c r="J105" s="20">
        <f>J70*4</f>
        <v>2486.9600000000009</v>
      </c>
      <c r="K105" s="20">
        <f>J105</f>
        <v>2486.9600000000009</v>
      </c>
      <c r="L105" s="20">
        <f t="shared" ref="L105:N105" si="24">K105</f>
        <v>2486.9600000000009</v>
      </c>
      <c r="M105" s="20">
        <f t="shared" si="24"/>
        <v>2486.9600000000009</v>
      </c>
      <c r="N105" s="20">
        <f t="shared" si="24"/>
        <v>2486.9600000000009</v>
      </c>
      <c r="P105" t="s">
        <v>296</v>
      </c>
      <c r="Q105" s="15">
        <f>N105/C41</f>
        <v>0.13074812049839657</v>
      </c>
      <c r="S105" s="26"/>
    </row>
    <row r="106" spans="6:34" ht="28" x14ac:dyDescent="0.15">
      <c r="F106" s="20"/>
      <c r="I106" t="s">
        <v>204</v>
      </c>
      <c r="J106" s="20">
        <f>J105+J70</f>
        <v>3108.7000000000012</v>
      </c>
      <c r="K106" s="20">
        <f>K105+K70</f>
        <v>3108.7000000000012</v>
      </c>
      <c r="L106" s="20">
        <f>L105+L70</f>
        <v>3108.7000000000012</v>
      </c>
      <c r="M106" s="20">
        <f>M105+M70</f>
        <v>3108.7000000000012</v>
      </c>
      <c r="N106" s="20">
        <f>N105+N70</f>
        <v>3108.7000000000012</v>
      </c>
    </row>
    <row r="107" spans="6:34" x14ac:dyDescent="0.15">
      <c r="J107" s="20"/>
      <c r="K107" s="20"/>
      <c r="L107" s="20"/>
      <c r="M107" s="20"/>
      <c r="N107" s="20"/>
    </row>
    <row r="108" spans="6:34" ht="42" x14ac:dyDescent="0.15">
      <c r="I108" t="s">
        <v>199</v>
      </c>
      <c r="J108" s="15">
        <f>J70/J106</f>
        <v>0.2</v>
      </c>
      <c r="K108" s="15">
        <f>K70/K106</f>
        <v>0.2</v>
      </c>
      <c r="L108" s="15">
        <f>L70/L106</f>
        <v>0.2</v>
      </c>
      <c r="M108" s="15">
        <f>M70/M106</f>
        <v>0.2</v>
      </c>
      <c r="N108" s="15">
        <f>N70/N106</f>
        <v>0.2</v>
      </c>
    </row>
    <row r="109" spans="6:34" ht="28" x14ac:dyDescent="0.15">
      <c r="I109" t="s">
        <v>205</v>
      </c>
      <c r="J109" s="18">
        <f>1-J108</f>
        <v>0.8</v>
      </c>
      <c r="K109" s="18">
        <f t="shared" ref="K109:N109" si="25">1-K108</f>
        <v>0.8</v>
      </c>
      <c r="L109" s="18">
        <f t="shared" si="25"/>
        <v>0.8</v>
      </c>
      <c r="M109" s="18">
        <f t="shared" si="25"/>
        <v>0.8</v>
      </c>
      <c r="N109" s="18">
        <f t="shared" si="25"/>
        <v>0.8</v>
      </c>
    </row>
    <row r="111" spans="6:34" ht="28" x14ac:dyDescent="0.15">
      <c r="I111" t="s">
        <v>200</v>
      </c>
      <c r="J111" s="20">
        <f>J108*J78</f>
        <v>62.174000000000028</v>
      </c>
      <c r="K111" s="20">
        <f>K108*K78</f>
        <v>62.174000000000028</v>
      </c>
      <c r="L111" s="20">
        <f>L108*L78</f>
        <v>62.174000000000028</v>
      </c>
      <c r="M111" s="20">
        <f>M108*M78</f>
        <v>62.174000000000028</v>
      </c>
      <c r="N111" s="20">
        <f>N108*N78</f>
        <v>62.174000000000028</v>
      </c>
    </row>
    <row r="112" spans="6:34" ht="14" x14ac:dyDescent="0.15">
      <c r="I112" t="s">
        <v>201</v>
      </c>
      <c r="J112" s="15">
        <f>J111/J70</f>
        <v>0.1</v>
      </c>
      <c r="K112" s="15">
        <f>K111/K70</f>
        <v>0.1</v>
      </c>
      <c r="L112" s="15">
        <f>L111/L70</f>
        <v>0.1</v>
      </c>
      <c r="M112" s="15">
        <f>M111/M70</f>
        <v>0.1</v>
      </c>
      <c r="N112" s="15">
        <f>N111/N70</f>
        <v>0.1</v>
      </c>
    </row>
    <row r="114" spans="9:15" ht="14" x14ac:dyDescent="0.15">
      <c r="I114" t="s">
        <v>202</v>
      </c>
      <c r="J114" s="20">
        <f>(1-J108)*J78</f>
        <v>248.69600000000011</v>
      </c>
      <c r="K114" s="20">
        <f>(1-K108)*K78</f>
        <v>248.69600000000011</v>
      </c>
      <c r="L114" s="20">
        <f>(1-L108)*L78</f>
        <v>248.69600000000011</v>
      </c>
      <c r="M114" s="20">
        <f>(1-M108)*M78</f>
        <v>248.69600000000011</v>
      </c>
      <c r="N114" s="20">
        <f>(1-N108)*N78</f>
        <v>248.69600000000011</v>
      </c>
    </row>
    <row r="115" spans="9:15" ht="14" x14ac:dyDescent="0.15">
      <c r="I115" t="s">
        <v>203</v>
      </c>
      <c r="J115" s="15">
        <f>J114/J105</f>
        <v>0.1</v>
      </c>
      <c r="K115" s="15">
        <f>K114/K105</f>
        <v>0.1</v>
      </c>
      <c r="L115" s="15">
        <f>L114/L105</f>
        <v>0.1</v>
      </c>
      <c r="M115" s="15">
        <f>M114/M105</f>
        <v>0.1</v>
      </c>
      <c r="N115" s="15">
        <f>N114/N105</f>
        <v>0.1</v>
      </c>
      <c r="O115" s="40"/>
    </row>
    <row r="116" spans="9:15" x14ac:dyDescent="0.15">
      <c r="I116" s="30"/>
      <c r="J116" s="41"/>
      <c r="K116" s="41"/>
      <c r="L116" s="41"/>
      <c r="M116" s="41"/>
      <c r="N116" s="41"/>
      <c r="O116" s="40"/>
    </row>
    <row r="117" spans="9:15" x14ac:dyDescent="0.15">
      <c r="I117" s="30"/>
      <c r="J117" s="41"/>
      <c r="K117" s="41"/>
      <c r="L117" s="41"/>
      <c r="M117" s="41"/>
      <c r="N117" s="41"/>
      <c r="O117" s="40"/>
    </row>
    <row r="118" spans="9:15" x14ac:dyDescent="0.15">
      <c r="I118" s="40"/>
      <c r="J118" s="40"/>
      <c r="K118" s="40"/>
      <c r="L118" s="40"/>
      <c r="M118" s="40"/>
      <c r="N118" s="40"/>
      <c r="O118" s="40"/>
    </row>
    <row r="119" spans="9:15" x14ac:dyDescent="0.15">
      <c r="J119" s="20"/>
    </row>
  </sheetData>
  <mergeCells count="6">
    <mergeCell ref="J53:N53"/>
    <mergeCell ref="Q8:S8"/>
    <mergeCell ref="N9:O9"/>
    <mergeCell ref="T9:U9"/>
    <mergeCell ref="H44:I44"/>
    <mergeCell ref="K44:L44"/>
  </mergeCells>
  <pageMargins left="0.7" right="0.7" top="0.75" bottom="0.75" header="0.3" footer="0.3"/>
  <pageSetup paperSize="9" orientation="portrait" horizontalDpi="0" verticalDpi="0"/>
  <headerFooter>
    <oddHeader>&amp;L&amp;"Aptos"&amp;10&amp;K000000 Protected&amp;1#_x000D_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9C69-542A-4558-B164-D51AA20BFFCA}">
  <dimension ref="A1:X45"/>
  <sheetViews>
    <sheetView workbookViewId="0"/>
  </sheetViews>
  <sheetFormatPr baseColWidth="10" defaultColWidth="25.83203125" defaultRowHeight="13" x14ac:dyDescent="0.15"/>
  <sheetData>
    <row r="1" spans="1:24" ht="14" x14ac:dyDescent="0.15">
      <c r="A1" t="s">
        <v>122</v>
      </c>
      <c r="B1" t="s">
        <v>206</v>
      </c>
    </row>
    <row r="2" spans="1:24" ht="14" x14ac:dyDescent="0.15">
      <c r="A2" t="s">
        <v>123</v>
      </c>
      <c r="B2">
        <v>4</v>
      </c>
    </row>
    <row r="3" spans="1:24" ht="14" x14ac:dyDescent="0.15">
      <c r="A3" t="s">
        <v>124</v>
      </c>
      <c r="B3">
        <v>0</v>
      </c>
    </row>
    <row r="5" spans="1:24" ht="14" x14ac:dyDescent="0.15">
      <c r="A5" t="s">
        <v>274</v>
      </c>
      <c r="B5" t="s">
        <v>275</v>
      </c>
      <c r="C5" t="s">
        <v>276</v>
      </c>
      <c r="D5" t="s">
        <v>277</v>
      </c>
      <c r="E5" t="s">
        <v>278</v>
      </c>
      <c r="F5" t="s">
        <v>279</v>
      </c>
      <c r="J5" t="s">
        <v>280</v>
      </c>
      <c r="K5" t="s">
        <v>281</v>
      </c>
      <c r="L5" t="s">
        <v>282</v>
      </c>
      <c r="N5" t="s">
        <v>283</v>
      </c>
      <c r="O5" t="s">
        <v>284</v>
      </c>
      <c r="P5" t="s">
        <v>285</v>
      </c>
      <c r="R5" t="s">
        <v>286</v>
      </c>
      <c r="S5" t="s">
        <v>287</v>
      </c>
      <c r="T5" t="s">
        <v>288</v>
      </c>
      <c r="V5" t="s">
        <v>289</v>
      </c>
      <c r="W5" t="s">
        <v>290</v>
      </c>
      <c r="X5" t="s">
        <v>291</v>
      </c>
    </row>
    <row r="6" spans="1:24" ht="224" x14ac:dyDescent="0.15">
      <c r="A6" t="e">
        <f ca="1">ModelRef(#REF!,1,0,0)</f>
        <v>#NAME?</v>
      </c>
      <c r="B6">
        <v>0</v>
      </c>
      <c r="C6">
        <v>3</v>
      </c>
      <c r="F6">
        <v>0</v>
      </c>
      <c r="J6" t="b">
        <v>1</v>
      </c>
      <c r="K6" t="s">
        <v>293</v>
      </c>
      <c r="L6" t="e">
        <f ca="1">ModelRef(#REF!,1,0,0)</f>
        <v>#NAME?</v>
      </c>
    </row>
    <row r="7" spans="1:24" ht="238" x14ac:dyDescent="0.15">
      <c r="A7" t="e">
        <f ca="1">ModelRef(#REF!,1,0,0)</f>
        <v>#NAME?</v>
      </c>
      <c r="B7">
        <v>0</v>
      </c>
      <c r="C7">
        <v>3</v>
      </c>
      <c r="F7">
        <v>0</v>
      </c>
      <c r="J7" t="b">
        <v>1</v>
      </c>
      <c r="K7" t="s">
        <v>294</v>
      </c>
      <c r="L7" t="e">
        <f ca="1">ModelRef(#REF!,1,0,0)</f>
        <v>#NAME?</v>
      </c>
    </row>
    <row r="8" spans="1:24" ht="238" x14ac:dyDescent="0.15">
      <c r="A8" t="e">
        <f ca="1">ModelRef(#REF!,1,0,0)</f>
        <v>#NAME?</v>
      </c>
      <c r="B8">
        <v>0</v>
      </c>
      <c r="C8">
        <v>3</v>
      </c>
      <c r="F8">
        <v>0</v>
      </c>
      <c r="J8" t="b">
        <v>1</v>
      </c>
      <c r="K8" t="s">
        <v>295</v>
      </c>
      <c r="L8" t="e">
        <f ca="1">ModelRef(#REF!,1,0,0)</f>
        <v>#NAME?</v>
      </c>
    </row>
    <row r="9" spans="1:24" ht="210" x14ac:dyDescent="0.15">
      <c r="A9" t="e">
        <f ca="1">ModelRef(#REF!,1,0,0)</f>
        <v>#NAME?</v>
      </c>
      <c r="B9">
        <v>0</v>
      </c>
      <c r="C9">
        <v>3</v>
      </c>
      <c r="F9">
        <v>0</v>
      </c>
      <c r="J9" t="b">
        <v>1</v>
      </c>
      <c r="K9" t="s">
        <v>292</v>
      </c>
      <c r="L9" t="e">
        <f ca="1">ModelRef(#REF!,1,0,0)</f>
        <v>#NAME?</v>
      </c>
    </row>
    <row r="11" spans="1:24" ht="14" x14ac:dyDescent="0.15">
      <c r="A11" t="s">
        <v>125</v>
      </c>
      <c r="C11" t="s">
        <v>126</v>
      </c>
      <c r="D11" t="s">
        <v>127</v>
      </c>
      <c r="E11" t="s">
        <v>128</v>
      </c>
    </row>
    <row r="12" spans="1:24" ht="182" x14ac:dyDescent="0.15">
      <c r="A12" t="e">
        <f>#REF!</f>
        <v>#REF!</v>
      </c>
      <c r="D12">
        <v>1</v>
      </c>
      <c r="E12" t="s">
        <v>263</v>
      </c>
      <c r="F12">
        <v>0</v>
      </c>
      <c r="G12" t="s">
        <v>264</v>
      </c>
      <c r="H12" t="s">
        <v>126</v>
      </c>
      <c r="I12">
        <v>0</v>
      </c>
    </row>
    <row r="13" spans="1:24" ht="182" x14ac:dyDescent="0.15">
      <c r="A13" t="e">
        <f>#REF!</f>
        <v>#REF!</v>
      </c>
      <c r="D13">
        <v>1</v>
      </c>
      <c r="E13" t="s">
        <v>265</v>
      </c>
      <c r="F13">
        <v>0</v>
      </c>
      <c r="G13" t="s">
        <v>266</v>
      </c>
      <c r="H13" t="s">
        <v>126</v>
      </c>
      <c r="I13">
        <v>0</v>
      </c>
    </row>
    <row r="14" spans="1:24" ht="168" x14ac:dyDescent="0.15">
      <c r="A14" t="e">
        <f>#REF!</f>
        <v>#REF!</v>
      </c>
      <c r="D14">
        <v>1</v>
      </c>
      <c r="E14" t="s">
        <v>267</v>
      </c>
      <c r="F14">
        <v>0</v>
      </c>
      <c r="G14" t="s">
        <v>268</v>
      </c>
      <c r="H14" t="s">
        <v>126</v>
      </c>
      <c r="I14">
        <v>0</v>
      </c>
    </row>
    <row r="15" spans="1:24" ht="182" x14ac:dyDescent="0.15">
      <c r="A15" t="e">
        <f>#REF!</f>
        <v>#REF!</v>
      </c>
      <c r="D15">
        <v>1</v>
      </c>
      <c r="E15" t="s">
        <v>263</v>
      </c>
      <c r="F15">
        <v>0</v>
      </c>
      <c r="G15" t="s">
        <v>269</v>
      </c>
      <c r="H15" t="s">
        <v>126</v>
      </c>
      <c r="I15">
        <v>0</v>
      </c>
    </row>
    <row r="16" spans="1:24" ht="168" x14ac:dyDescent="0.15">
      <c r="A16" t="e">
        <f>#REF!</f>
        <v>#REF!</v>
      </c>
      <c r="D16">
        <v>1</v>
      </c>
      <c r="E16" t="s">
        <v>270</v>
      </c>
      <c r="F16">
        <v>0</v>
      </c>
      <c r="G16" t="s">
        <v>271</v>
      </c>
      <c r="H16" t="s">
        <v>126</v>
      </c>
      <c r="I16">
        <v>0</v>
      </c>
    </row>
    <row r="17" spans="1:9" ht="168" x14ac:dyDescent="0.15">
      <c r="A17" t="e">
        <f>#REF!</f>
        <v>#REF!</v>
      </c>
      <c r="D17">
        <v>1</v>
      </c>
      <c r="E17" t="s">
        <v>272</v>
      </c>
      <c r="F17">
        <v>0</v>
      </c>
      <c r="G17" t="s">
        <v>273</v>
      </c>
      <c r="H17" t="s">
        <v>126</v>
      </c>
      <c r="I17">
        <v>0</v>
      </c>
    </row>
    <row r="18" spans="1:9" ht="168" x14ac:dyDescent="0.15">
      <c r="A18" s="43" t="e">
        <f>#REF!</f>
        <v>#REF!</v>
      </c>
      <c r="D18">
        <v>1</v>
      </c>
      <c r="E18" t="s">
        <v>260</v>
      </c>
      <c r="F18">
        <v>0</v>
      </c>
      <c r="G18" t="s">
        <v>261</v>
      </c>
      <c r="H18" t="s">
        <v>126</v>
      </c>
      <c r="I18">
        <v>0</v>
      </c>
    </row>
    <row r="19" spans="1:9" ht="182" x14ac:dyDescent="0.15">
      <c r="A19" t="e">
        <f>#REF!</f>
        <v>#REF!</v>
      </c>
      <c r="D19">
        <v>1</v>
      </c>
      <c r="E19" t="s">
        <v>207</v>
      </c>
      <c r="F19">
        <v>0</v>
      </c>
      <c r="G19" t="s">
        <v>208</v>
      </c>
      <c r="H19" t="s">
        <v>126</v>
      </c>
      <c r="I19">
        <v>0</v>
      </c>
    </row>
    <row r="20" spans="1:9" ht="182" x14ac:dyDescent="0.15">
      <c r="A20" t="e">
        <f>#REF!</f>
        <v>#REF!</v>
      </c>
      <c r="D20">
        <v>1</v>
      </c>
      <c r="E20" t="s">
        <v>209</v>
      </c>
      <c r="F20">
        <v>0</v>
      </c>
      <c r="G20" t="s">
        <v>210</v>
      </c>
      <c r="H20" t="s">
        <v>126</v>
      </c>
      <c r="I20">
        <v>0</v>
      </c>
    </row>
    <row r="21" spans="1:9" ht="182" x14ac:dyDescent="0.15">
      <c r="A21" t="e">
        <f>#REF!</f>
        <v>#REF!</v>
      </c>
      <c r="D21">
        <v>1</v>
      </c>
      <c r="E21" t="s">
        <v>211</v>
      </c>
      <c r="F21">
        <v>0</v>
      </c>
      <c r="G21" t="s">
        <v>212</v>
      </c>
      <c r="H21" t="s">
        <v>126</v>
      </c>
      <c r="I21">
        <v>0</v>
      </c>
    </row>
    <row r="22" spans="1:9" ht="182" x14ac:dyDescent="0.15">
      <c r="A22" t="e">
        <f>#REF!</f>
        <v>#REF!</v>
      </c>
      <c r="D22">
        <v>1</v>
      </c>
      <c r="E22" t="s">
        <v>213</v>
      </c>
      <c r="F22">
        <v>0</v>
      </c>
      <c r="G22" t="s">
        <v>214</v>
      </c>
      <c r="H22" t="s">
        <v>126</v>
      </c>
      <c r="I22">
        <v>0</v>
      </c>
    </row>
    <row r="23" spans="1:9" ht="182" x14ac:dyDescent="0.15">
      <c r="A23" t="e">
        <f>#REF!</f>
        <v>#REF!</v>
      </c>
      <c r="D23">
        <v>1</v>
      </c>
      <c r="E23" t="s">
        <v>215</v>
      </c>
      <c r="F23">
        <v>0</v>
      </c>
      <c r="G23" t="s">
        <v>216</v>
      </c>
      <c r="H23" t="s">
        <v>126</v>
      </c>
      <c r="I23">
        <v>0</v>
      </c>
    </row>
    <row r="24" spans="1:9" ht="182" x14ac:dyDescent="0.15">
      <c r="A24" t="e">
        <f>#REF!</f>
        <v>#REF!</v>
      </c>
      <c r="D24">
        <v>1</v>
      </c>
      <c r="E24" t="s">
        <v>217</v>
      </c>
      <c r="F24">
        <v>0</v>
      </c>
      <c r="G24" t="s">
        <v>218</v>
      </c>
      <c r="H24" t="s">
        <v>126</v>
      </c>
      <c r="I24">
        <v>0</v>
      </c>
    </row>
    <row r="25" spans="1:9" ht="182" x14ac:dyDescent="0.15">
      <c r="A25" t="e">
        <f>#REF!</f>
        <v>#REF!</v>
      </c>
      <c r="D25">
        <v>1</v>
      </c>
      <c r="E25" t="s">
        <v>219</v>
      </c>
      <c r="F25">
        <v>0</v>
      </c>
      <c r="G25" t="s">
        <v>220</v>
      </c>
      <c r="H25" t="s">
        <v>126</v>
      </c>
      <c r="I25">
        <v>0</v>
      </c>
    </row>
    <row r="26" spans="1:9" ht="182" x14ac:dyDescent="0.15">
      <c r="A26" t="e">
        <f>#REF!</f>
        <v>#REF!</v>
      </c>
      <c r="D26">
        <v>1</v>
      </c>
      <c r="E26" t="s">
        <v>221</v>
      </c>
      <c r="F26">
        <v>0</v>
      </c>
      <c r="G26" t="s">
        <v>222</v>
      </c>
      <c r="H26" t="s">
        <v>126</v>
      </c>
      <c r="I26">
        <v>0</v>
      </c>
    </row>
    <row r="27" spans="1:9" ht="182" x14ac:dyDescent="0.15">
      <c r="A27" t="e">
        <f>#REF!</f>
        <v>#REF!</v>
      </c>
      <c r="D27">
        <v>1</v>
      </c>
      <c r="E27" t="s">
        <v>223</v>
      </c>
      <c r="F27">
        <v>0</v>
      </c>
      <c r="G27" t="s">
        <v>224</v>
      </c>
      <c r="H27" t="s">
        <v>126</v>
      </c>
      <c r="I27">
        <v>0</v>
      </c>
    </row>
    <row r="28" spans="1:9" ht="182" x14ac:dyDescent="0.15">
      <c r="A28" t="e">
        <f>#REF!</f>
        <v>#REF!</v>
      </c>
      <c r="D28">
        <v>1</v>
      </c>
      <c r="E28" t="s">
        <v>225</v>
      </c>
      <c r="F28">
        <v>0</v>
      </c>
      <c r="G28" t="s">
        <v>226</v>
      </c>
      <c r="H28" t="s">
        <v>126</v>
      </c>
      <c r="I28">
        <v>0</v>
      </c>
    </row>
    <row r="29" spans="1:9" ht="182" x14ac:dyDescent="0.15">
      <c r="A29" t="e">
        <f>#REF!</f>
        <v>#REF!</v>
      </c>
      <c r="D29">
        <v>1</v>
      </c>
      <c r="E29" t="s">
        <v>227</v>
      </c>
      <c r="F29">
        <v>0</v>
      </c>
      <c r="G29" t="s">
        <v>228</v>
      </c>
      <c r="H29" t="s">
        <v>126</v>
      </c>
      <c r="I29">
        <v>0</v>
      </c>
    </row>
    <row r="30" spans="1:9" ht="182" x14ac:dyDescent="0.15">
      <c r="A30" t="e">
        <f>#REF!</f>
        <v>#REF!</v>
      </c>
      <c r="D30">
        <v>1</v>
      </c>
      <c r="E30" t="s">
        <v>229</v>
      </c>
      <c r="F30">
        <v>0</v>
      </c>
      <c r="G30" t="s">
        <v>230</v>
      </c>
      <c r="H30" t="s">
        <v>126</v>
      </c>
      <c r="I30">
        <v>0</v>
      </c>
    </row>
    <row r="31" spans="1:9" ht="182" x14ac:dyDescent="0.15">
      <c r="A31" t="e">
        <f>#REF!</f>
        <v>#REF!</v>
      </c>
      <c r="D31">
        <v>1</v>
      </c>
      <c r="E31" t="s">
        <v>231</v>
      </c>
      <c r="F31">
        <v>0</v>
      </c>
      <c r="G31" t="s">
        <v>232</v>
      </c>
      <c r="H31" t="s">
        <v>126</v>
      </c>
      <c r="I31">
        <v>0</v>
      </c>
    </row>
    <row r="32" spans="1:9" ht="182" x14ac:dyDescent="0.15">
      <c r="A32" t="e">
        <f>#REF!</f>
        <v>#REF!</v>
      </c>
      <c r="D32">
        <v>1</v>
      </c>
      <c r="E32" t="s">
        <v>233</v>
      </c>
      <c r="F32">
        <v>0</v>
      </c>
      <c r="G32" t="s">
        <v>234</v>
      </c>
      <c r="H32" t="s">
        <v>126</v>
      </c>
      <c r="I32">
        <v>0</v>
      </c>
    </row>
    <row r="33" spans="1:9" ht="182" x14ac:dyDescent="0.15">
      <c r="A33" t="e">
        <f>#REF!</f>
        <v>#REF!</v>
      </c>
      <c r="D33">
        <v>1</v>
      </c>
      <c r="E33" t="s">
        <v>235</v>
      </c>
      <c r="F33">
        <v>0</v>
      </c>
      <c r="G33" t="s">
        <v>236</v>
      </c>
      <c r="H33" t="s">
        <v>126</v>
      </c>
      <c r="I33">
        <v>0</v>
      </c>
    </row>
    <row r="34" spans="1:9" ht="182" x14ac:dyDescent="0.15">
      <c r="A34" t="e">
        <f>#REF!</f>
        <v>#REF!</v>
      </c>
      <c r="D34">
        <v>1</v>
      </c>
      <c r="E34" t="s">
        <v>237</v>
      </c>
      <c r="F34">
        <v>0</v>
      </c>
      <c r="G34" t="s">
        <v>238</v>
      </c>
      <c r="H34" t="s">
        <v>126</v>
      </c>
      <c r="I34">
        <v>0</v>
      </c>
    </row>
    <row r="35" spans="1:9" ht="182" x14ac:dyDescent="0.15">
      <c r="A35" t="e">
        <f>#REF!</f>
        <v>#REF!</v>
      </c>
      <c r="D35">
        <v>1</v>
      </c>
      <c r="E35" t="s">
        <v>239</v>
      </c>
      <c r="F35">
        <v>0</v>
      </c>
      <c r="G35" t="s">
        <v>240</v>
      </c>
      <c r="H35" t="s">
        <v>126</v>
      </c>
      <c r="I35">
        <v>0</v>
      </c>
    </row>
    <row r="36" spans="1:9" ht="182" x14ac:dyDescent="0.15">
      <c r="A36" t="e">
        <f>#REF!</f>
        <v>#REF!</v>
      </c>
      <c r="D36">
        <v>1</v>
      </c>
      <c r="E36" t="s">
        <v>241</v>
      </c>
      <c r="F36">
        <v>0</v>
      </c>
      <c r="G36" t="s">
        <v>242</v>
      </c>
      <c r="H36" t="s">
        <v>126</v>
      </c>
      <c r="I36">
        <v>0</v>
      </c>
    </row>
    <row r="37" spans="1:9" ht="182" x14ac:dyDescent="0.15">
      <c r="A37" t="e">
        <f>#REF!</f>
        <v>#REF!</v>
      </c>
      <c r="D37">
        <v>1</v>
      </c>
      <c r="E37" t="s">
        <v>243</v>
      </c>
      <c r="F37">
        <v>0</v>
      </c>
      <c r="G37" t="s">
        <v>244</v>
      </c>
      <c r="H37" t="s">
        <v>126</v>
      </c>
      <c r="I37">
        <v>0</v>
      </c>
    </row>
    <row r="38" spans="1:9" ht="182" x14ac:dyDescent="0.15">
      <c r="A38" t="e">
        <f>#REF!</f>
        <v>#REF!</v>
      </c>
      <c r="D38">
        <v>1</v>
      </c>
      <c r="E38" t="s">
        <v>215</v>
      </c>
      <c r="F38">
        <v>0</v>
      </c>
      <c r="G38" t="s">
        <v>245</v>
      </c>
      <c r="H38" t="s">
        <v>126</v>
      </c>
      <c r="I38">
        <v>0</v>
      </c>
    </row>
    <row r="39" spans="1:9" ht="182" x14ac:dyDescent="0.15">
      <c r="A39" t="e">
        <f>#REF!</f>
        <v>#REF!</v>
      </c>
      <c r="D39">
        <v>1</v>
      </c>
      <c r="E39" t="s">
        <v>246</v>
      </c>
      <c r="F39">
        <v>0</v>
      </c>
      <c r="G39" t="s">
        <v>247</v>
      </c>
      <c r="H39" t="s">
        <v>126</v>
      </c>
      <c r="I39">
        <v>0</v>
      </c>
    </row>
    <row r="40" spans="1:9" ht="182" x14ac:dyDescent="0.15">
      <c r="A40" t="e">
        <f>#REF!</f>
        <v>#REF!</v>
      </c>
      <c r="D40">
        <v>1</v>
      </c>
      <c r="E40" t="s">
        <v>248</v>
      </c>
      <c r="F40">
        <v>0</v>
      </c>
      <c r="G40" t="s">
        <v>249</v>
      </c>
      <c r="H40" t="s">
        <v>126</v>
      </c>
      <c r="I40">
        <v>0</v>
      </c>
    </row>
    <row r="41" spans="1:9" ht="182" x14ac:dyDescent="0.15">
      <c r="A41" t="e">
        <f>#REF!</f>
        <v>#REF!</v>
      </c>
      <c r="D41">
        <v>1</v>
      </c>
      <c r="E41" t="s">
        <v>250</v>
      </c>
      <c r="F41">
        <v>0</v>
      </c>
      <c r="G41" t="s">
        <v>251</v>
      </c>
      <c r="H41" t="s">
        <v>126</v>
      </c>
      <c r="I41">
        <v>0</v>
      </c>
    </row>
    <row r="42" spans="1:9" ht="182" x14ac:dyDescent="0.15">
      <c r="A42" t="e">
        <f>#REF!</f>
        <v>#REF!</v>
      </c>
      <c r="D42">
        <v>1</v>
      </c>
      <c r="E42" t="s">
        <v>252</v>
      </c>
      <c r="F42">
        <v>0</v>
      </c>
      <c r="G42" t="s">
        <v>253</v>
      </c>
      <c r="H42" t="s">
        <v>126</v>
      </c>
      <c r="I42">
        <v>0</v>
      </c>
    </row>
    <row r="43" spans="1:9" ht="182" x14ac:dyDescent="0.15">
      <c r="A43" t="e">
        <f>#REF!</f>
        <v>#REF!</v>
      </c>
      <c r="D43">
        <v>1</v>
      </c>
      <c r="E43" t="s">
        <v>254</v>
      </c>
      <c r="F43">
        <v>0</v>
      </c>
      <c r="G43" t="s">
        <v>255</v>
      </c>
      <c r="H43" t="s">
        <v>126</v>
      </c>
      <c r="I43">
        <v>0</v>
      </c>
    </row>
    <row r="44" spans="1:9" ht="182" x14ac:dyDescent="0.15">
      <c r="A44" t="e">
        <f>#REF!</f>
        <v>#REF!</v>
      </c>
      <c r="D44">
        <v>1</v>
      </c>
      <c r="E44" t="s">
        <v>256</v>
      </c>
      <c r="F44">
        <v>0</v>
      </c>
      <c r="G44" t="s">
        <v>257</v>
      </c>
      <c r="H44" t="s">
        <v>126</v>
      </c>
      <c r="I44">
        <v>0</v>
      </c>
    </row>
    <row r="45" spans="1:9" ht="168" x14ac:dyDescent="0.15">
      <c r="A45" t="e">
        <f>#REF!</f>
        <v>#REF!</v>
      </c>
      <c r="D45">
        <v>1</v>
      </c>
      <c r="E45" t="s">
        <v>258</v>
      </c>
      <c r="F45">
        <v>0</v>
      </c>
      <c r="G45" t="s">
        <v>259</v>
      </c>
      <c r="H45" t="s">
        <v>126</v>
      </c>
      <c r="I45">
        <v>0</v>
      </c>
    </row>
  </sheetData>
  <pageMargins left="0.7" right="0.7" top="0.75" bottom="0.75" header="0.3" footer="0.3"/>
  <headerFooter>
    <oddHeader>&amp;L&amp;"Aptos"&amp;10&amp;K000000 Protected&amp;1#_x000D_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BBBE-17E8-4545-A8D0-5E73399DEA4D}">
  <dimension ref="A1:BU27"/>
  <sheetViews>
    <sheetView workbookViewId="0"/>
  </sheetViews>
  <sheetFormatPr baseColWidth="10" defaultColWidth="15.6640625" defaultRowHeight="13" x14ac:dyDescent="0.15"/>
  <cols>
    <col min="1" max="16384" width="15.6640625" style="1"/>
  </cols>
  <sheetData>
    <row r="1" spans="1:73" ht="56" x14ac:dyDescent="0.15">
      <c r="A1" s="1" t="s">
        <v>54</v>
      </c>
      <c r="B1" s="7" t="e">
        <f>#REF!</f>
        <v>#REF!</v>
      </c>
      <c r="C1" s="5">
        <v>1</v>
      </c>
      <c r="D1" s="5">
        <v>0.5</v>
      </c>
      <c r="E1" s="3"/>
      <c r="F1" s="1" t="s">
        <v>91</v>
      </c>
      <c r="I1" s="1" t="s">
        <v>45</v>
      </c>
      <c r="J1" s="3">
        <v>3</v>
      </c>
      <c r="L1" s="1" t="s">
        <v>42</v>
      </c>
      <c r="M1" s="3" t="b">
        <v>1</v>
      </c>
      <c r="O1" s="1" t="s">
        <v>37</v>
      </c>
      <c r="Y1" s="1" t="s">
        <v>56</v>
      </c>
      <c r="AA1" s="1" t="s">
        <v>99</v>
      </c>
      <c r="AD1" s="1" t="s">
        <v>74</v>
      </c>
      <c r="AG1" s="1" t="s">
        <v>71</v>
      </c>
    </row>
    <row r="2" spans="1:73" ht="98" x14ac:dyDescent="0.15">
      <c r="A2" s="1" t="s">
        <v>55</v>
      </c>
      <c r="B2" s="4">
        <v>2</v>
      </c>
      <c r="C2" s="4">
        <v>0</v>
      </c>
      <c r="F2" s="1" t="s">
        <v>92</v>
      </c>
      <c r="G2" s="4" t="b">
        <v>0</v>
      </c>
      <c r="H2" s="4"/>
      <c r="I2" s="1" t="s">
        <v>35</v>
      </c>
      <c r="J2" s="3"/>
      <c r="L2" s="1" t="s">
        <v>85</v>
      </c>
      <c r="M2" s="5">
        <v>1000</v>
      </c>
      <c r="O2" s="1" t="s">
        <v>38</v>
      </c>
      <c r="P2" s="3"/>
      <c r="R2" s="1" t="s">
        <v>46</v>
      </c>
      <c r="S2" s="6" t="s">
        <v>106</v>
      </c>
      <c r="U2" s="1" t="s">
        <v>52</v>
      </c>
      <c r="V2" s="3"/>
      <c r="X2" s="1" t="s">
        <v>57</v>
      </c>
      <c r="Y2" s="4">
        <v>0</v>
      </c>
      <c r="AA2" s="1" t="s">
        <v>100</v>
      </c>
      <c r="AB2" s="4">
        <v>0</v>
      </c>
      <c r="AD2" s="1" t="s">
        <v>75</v>
      </c>
      <c r="AE2" s="4" t="b">
        <v>1</v>
      </c>
      <c r="AG2" s="1" t="s">
        <v>72</v>
      </c>
      <c r="AH2" s="5">
        <v>1</v>
      </c>
    </row>
    <row r="3" spans="1:73" ht="98" x14ac:dyDescent="0.15">
      <c r="A3" s="1" t="s">
        <v>67</v>
      </c>
      <c r="B3" s="4" t="b">
        <v>1</v>
      </c>
      <c r="C3" s="4">
        <v>500</v>
      </c>
      <c r="F3" s="1" t="s">
        <v>93</v>
      </c>
      <c r="G3" s="4" t="b">
        <v>0</v>
      </c>
      <c r="H3" s="4"/>
      <c r="I3" s="1" t="s">
        <v>36</v>
      </c>
      <c r="J3" s="9">
        <v>11</v>
      </c>
      <c r="L3" s="1" t="s">
        <v>84</v>
      </c>
      <c r="M3" s="5">
        <v>1</v>
      </c>
      <c r="N3" s="5">
        <v>0</v>
      </c>
      <c r="O3" s="1" t="s">
        <v>39</v>
      </c>
      <c r="P3" s="3"/>
      <c r="R3" s="1" t="s">
        <v>47</v>
      </c>
      <c r="S3" s="6" t="s">
        <v>107</v>
      </c>
      <c r="U3" s="1" t="s">
        <v>53</v>
      </c>
      <c r="V3" s="3"/>
      <c r="X3" s="1" t="s">
        <v>58</v>
      </c>
      <c r="Y3" s="4">
        <v>0.1</v>
      </c>
      <c r="AA3" s="1" t="s">
        <v>101</v>
      </c>
      <c r="AB3" s="3"/>
      <c r="AD3" s="1" t="s">
        <v>76</v>
      </c>
      <c r="AE3" s="4">
        <v>250</v>
      </c>
      <c r="AG3" s="1" t="s">
        <v>73</v>
      </c>
      <c r="AH3" s="5">
        <v>-1</v>
      </c>
    </row>
    <row r="4" spans="1:73" ht="98" x14ac:dyDescent="0.15">
      <c r="A4" s="1" t="s">
        <v>69</v>
      </c>
      <c r="B4" s="4" t="b">
        <v>0</v>
      </c>
      <c r="C4" s="4">
        <v>5</v>
      </c>
      <c r="D4" s="4">
        <v>2</v>
      </c>
      <c r="F4" s="1" t="s">
        <v>94</v>
      </c>
      <c r="G4" s="4" t="b">
        <v>0</v>
      </c>
      <c r="H4" s="4"/>
      <c r="L4" s="1" t="s">
        <v>64</v>
      </c>
      <c r="M4" s="5" t="b">
        <v>1</v>
      </c>
      <c r="O4" s="1" t="s">
        <v>40</v>
      </c>
      <c r="P4" s="3"/>
      <c r="R4" s="1" t="s">
        <v>48</v>
      </c>
      <c r="S4" s="6" t="s">
        <v>107</v>
      </c>
      <c r="X4" s="1" t="s">
        <v>59</v>
      </c>
      <c r="Y4" s="4">
        <v>0.5</v>
      </c>
      <c r="AA4" s="1" t="s">
        <v>102</v>
      </c>
      <c r="AB4" s="3"/>
      <c r="AD4" s="1" t="s">
        <v>77</v>
      </c>
      <c r="AE4" s="4" t="b">
        <v>0</v>
      </c>
    </row>
    <row r="5" spans="1:73" ht="70" x14ac:dyDescent="0.15">
      <c r="A5" s="1" t="s">
        <v>70</v>
      </c>
      <c r="B5" s="4" t="b">
        <v>0</v>
      </c>
      <c r="C5" s="4">
        <v>100</v>
      </c>
      <c r="D5" s="4">
        <v>0.01</v>
      </c>
      <c r="E5" s="4" t="b">
        <v>1</v>
      </c>
      <c r="F5" s="1" t="s">
        <v>95</v>
      </c>
      <c r="G5" s="4" t="b">
        <v>0</v>
      </c>
      <c r="H5" s="4"/>
      <c r="L5" s="1" t="s">
        <v>65</v>
      </c>
      <c r="M5" s="5">
        <v>3</v>
      </c>
      <c r="O5" s="1" t="s">
        <v>41</v>
      </c>
      <c r="P5" s="3"/>
      <c r="R5" s="1" t="s">
        <v>49</v>
      </c>
      <c r="S5" s="6" t="s">
        <v>106</v>
      </c>
      <c r="X5" s="1" t="s">
        <v>60</v>
      </c>
      <c r="Y5" s="4" t="s">
        <v>105</v>
      </c>
      <c r="AA5" s="1" t="s">
        <v>103</v>
      </c>
      <c r="AB5" s="3"/>
      <c r="AD5" s="1" t="s">
        <v>78</v>
      </c>
      <c r="AE5" s="4">
        <v>15</v>
      </c>
    </row>
    <row r="6" spans="1:73" ht="112" x14ac:dyDescent="0.15">
      <c r="A6" s="1" t="s">
        <v>68</v>
      </c>
      <c r="B6" s="4" t="b">
        <v>0</v>
      </c>
      <c r="C6" s="4"/>
      <c r="F6" s="1" t="s">
        <v>96</v>
      </c>
      <c r="G6" s="4" t="b">
        <v>0</v>
      </c>
      <c r="H6" s="4"/>
      <c r="L6" s="1" t="s">
        <v>97</v>
      </c>
      <c r="M6" s="5" t="b">
        <v>0</v>
      </c>
      <c r="N6" s="5"/>
      <c r="R6" s="1" t="s">
        <v>50</v>
      </c>
      <c r="S6" s="3"/>
      <c r="X6" s="1" t="s">
        <v>61</v>
      </c>
      <c r="Y6" s="5" t="b">
        <v>1</v>
      </c>
      <c r="AA6" s="1" t="s">
        <v>104</v>
      </c>
      <c r="AB6" s="3"/>
      <c r="AD6" s="1" t="s">
        <v>79</v>
      </c>
      <c r="AE6" s="4">
        <v>2</v>
      </c>
    </row>
    <row r="7" spans="1:73" ht="84" x14ac:dyDescent="0.15">
      <c r="A7" s="1" t="s">
        <v>62</v>
      </c>
      <c r="B7" s="4">
        <v>50</v>
      </c>
      <c r="L7" s="1" t="s">
        <v>98</v>
      </c>
      <c r="M7" s="5" t="b">
        <v>0</v>
      </c>
      <c r="N7" s="5"/>
      <c r="R7" s="1" t="s">
        <v>51</v>
      </c>
      <c r="S7" s="3" t="b">
        <v>1</v>
      </c>
      <c r="AD7" s="1" t="s">
        <v>80</v>
      </c>
      <c r="AE7" s="4" t="b">
        <v>0</v>
      </c>
    </row>
    <row r="8" spans="1:73" ht="28" x14ac:dyDescent="0.15">
      <c r="A8" s="1" t="s">
        <v>0</v>
      </c>
      <c r="B8" s="1" t="s">
        <v>0</v>
      </c>
      <c r="F8" s="1" t="s">
        <v>63</v>
      </c>
      <c r="G8" s="4" t="b">
        <v>1</v>
      </c>
      <c r="H8" s="4">
        <v>1</v>
      </c>
      <c r="AD8" s="1" t="s">
        <v>81</v>
      </c>
      <c r="AE8" s="4">
        <v>100</v>
      </c>
    </row>
    <row r="9" spans="1:73" ht="56" x14ac:dyDescent="0.15">
      <c r="A9" s="1" t="s">
        <v>90</v>
      </c>
      <c r="B9" s="4">
        <v>3</v>
      </c>
      <c r="F9" s="1" t="s">
        <v>87</v>
      </c>
      <c r="G9" s="4" t="b">
        <v>0</v>
      </c>
      <c r="AD9" s="1" t="s">
        <v>82</v>
      </c>
      <c r="AE9" s="4">
        <v>0.01</v>
      </c>
    </row>
    <row r="10" spans="1:73" ht="42" x14ac:dyDescent="0.15">
      <c r="A10" s="1" t="s">
        <v>66</v>
      </c>
      <c r="B10" s="4" t="b">
        <v>0</v>
      </c>
      <c r="AD10" s="1" t="s">
        <v>83</v>
      </c>
      <c r="AE10" s="4" t="b">
        <v>1</v>
      </c>
    </row>
    <row r="11" spans="1:73" ht="140" x14ac:dyDescent="0.15">
      <c r="A11" s="1" t="s">
        <v>86</v>
      </c>
      <c r="B11" s="4" t="b">
        <v>1</v>
      </c>
    </row>
    <row r="12" spans="1:73" ht="56" x14ac:dyDescent="0.15">
      <c r="A12" s="1" t="s">
        <v>89</v>
      </c>
      <c r="B12" s="4" t="b">
        <v>0</v>
      </c>
      <c r="F12" s="1" t="s">
        <v>88</v>
      </c>
      <c r="G12" s="4">
        <v>2</v>
      </c>
    </row>
    <row r="14" spans="1:73" ht="15" thickBot="1" x14ac:dyDescent="0.2">
      <c r="A14" s="1" t="s">
        <v>43</v>
      </c>
      <c r="B14" s="3">
        <v>1</v>
      </c>
      <c r="AX14" s="1" t="s">
        <v>44</v>
      </c>
      <c r="AY14" s="3">
        <v>0</v>
      </c>
    </row>
    <row r="15" spans="1:73" s="2" customFormat="1" ht="57" thickTop="1" x14ac:dyDescent="0.1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AX15" s="2" t="s">
        <v>12</v>
      </c>
      <c r="AY15" s="2" t="s">
        <v>13</v>
      </c>
      <c r="AZ15" s="2" t="s">
        <v>14</v>
      </c>
      <c r="BA15" s="2" t="s">
        <v>4</v>
      </c>
      <c r="BB15" s="2" t="s">
        <v>15</v>
      </c>
      <c r="BC15" s="2" t="s">
        <v>16</v>
      </c>
      <c r="BD15" s="2" t="s">
        <v>17</v>
      </c>
      <c r="BE15" s="2" t="s">
        <v>18</v>
      </c>
      <c r="BF15" s="2" t="s">
        <v>19</v>
      </c>
      <c r="BG15" s="2" t="s">
        <v>20</v>
      </c>
      <c r="BH15" s="2" t="s">
        <v>21</v>
      </c>
      <c r="BI15" s="2" t="s">
        <v>22</v>
      </c>
      <c r="BJ15" s="2" t="s">
        <v>23</v>
      </c>
      <c r="BK15" s="2" t="s">
        <v>24</v>
      </c>
      <c r="BL15" s="2" t="s">
        <v>25</v>
      </c>
      <c r="BM15" s="2" t="s">
        <v>26</v>
      </c>
      <c r="BN15" s="2" t="s">
        <v>27</v>
      </c>
      <c r="BO15" s="2" t="s">
        <v>28</v>
      </c>
      <c r="BP15" s="2" t="s">
        <v>29</v>
      </c>
      <c r="BQ15" s="2" t="s">
        <v>30</v>
      </c>
      <c r="BR15" s="2" t="s">
        <v>31</v>
      </c>
      <c r="BS15" s="2" t="s">
        <v>32</v>
      </c>
      <c r="BT15" s="2" t="s">
        <v>33</v>
      </c>
      <c r="BU15" s="2" t="s">
        <v>34</v>
      </c>
    </row>
    <row r="16" spans="1:73" ht="14" x14ac:dyDescent="0.15">
      <c r="A16" s="1" t="s">
        <v>119</v>
      </c>
      <c r="B16" s="1">
        <v>0.1</v>
      </c>
      <c r="C16" s="1">
        <v>0.5</v>
      </c>
      <c r="D16" s="8" t="s">
        <v>120</v>
      </c>
      <c r="G16" s="1">
        <v>1</v>
      </c>
      <c r="H16" s="1" t="e">
        <f>#REF!</f>
        <v>#REF!</v>
      </c>
      <c r="I16" s="1">
        <v>1</v>
      </c>
      <c r="J16" s="1">
        <v>11</v>
      </c>
      <c r="K16" s="1" t="s">
        <v>121</v>
      </c>
      <c r="L16" s="1">
        <v>0</v>
      </c>
      <c r="M16" s="1" t="b">
        <v>0</v>
      </c>
    </row>
    <row r="17" spans="1:1" ht="28" x14ac:dyDescent="0.15">
      <c r="A17" s="1" t="s">
        <v>108</v>
      </c>
    </row>
    <row r="18" spans="1:1" ht="28" x14ac:dyDescent="0.15">
      <c r="A18" s="1" t="s">
        <v>109</v>
      </c>
    </row>
    <row r="19" spans="1:1" ht="28" x14ac:dyDescent="0.15">
      <c r="A19" s="1" t="s">
        <v>110</v>
      </c>
    </row>
    <row r="20" spans="1:1" ht="28" x14ac:dyDescent="0.15">
      <c r="A20" s="1" t="s">
        <v>111</v>
      </c>
    </row>
    <row r="21" spans="1:1" ht="28" x14ac:dyDescent="0.15">
      <c r="A21" s="1" t="s">
        <v>112</v>
      </c>
    </row>
    <row r="22" spans="1:1" ht="28" x14ac:dyDescent="0.15">
      <c r="A22" s="1" t="s">
        <v>113</v>
      </c>
    </row>
    <row r="23" spans="1:1" ht="28" x14ac:dyDescent="0.15">
      <c r="A23" s="1" t="s">
        <v>114</v>
      </c>
    </row>
    <row r="24" spans="1:1" ht="28" x14ac:dyDescent="0.15">
      <c r="A24" s="1" t="s">
        <v>115</v>
      </c>
    </row>
    <row r="25" spans="1:1" ht="28" x14ac:dyDescent="0.15">
      <c r="A25" s="1" t="s">
        <v>116</v>
      </c>
    </row>
    <row r="26" spans="1:1" ht="14" x14ac:dyDescent="0.15">
      <c r="A26" s="1" t="s">
        <v>117</v>
      </c>
    </row>
    <row r="27" spans="1:1" ht="14" x14ac:dyDescent="0.15">
      <c r="A27" s="1" t="s">
        <v>118</v>
      </c>
    </row>
  </sheetData>
  <pageMargins left="0.7" right="0.7" top="0.75" bottom="0.75" header="0.3" footer="0.3"/>
  <headerFooter>
    <oddHeader>&amp;L&amp;"Aptos"&amp;10&amp;K000000 Protected&amp;1#_x000D_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Fixed beta</vt:lpstr>
      <vt:lpstr>Capital with fixed beta</vt:lpstr>
      <vt:lpstr>RiskSerializationData8</vt:lpstr>
      <vt:lpstr>ro_HiddenInfo</vt:lpstr>
      <vt:lpstr>RiskSerializationData8!BrowseRecords</vt:lpstr>
      <vt:lpstr>RiskSerializationData8!DistributionRecords</vt:lpstr>
      <vt:lpstr>RiskSerializationData8!SerializationHeader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 Al Suwailem</cp:lastModifiedBy>
  <dcterms:created xsi:type="dcterms:W3CDTF">2020-07-13T07:26:08Z</dcterms:created>
  <dcterms:modified xsi:type="dcterms:W3CDTF">2026-02-18T19:57:59Z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f4adf7-25a7-4f52-a61a-df7190f1d881_Enabled">
    <vt:lpwstr>true</vt:lpwstr>
  </property>
  <property fmtid="{D5CDD505-2E9C-101B-9397-08002B2CF9AE}" pid="3" name="MSIP_Label_9ef4adf7-25a7-4f52-a61a-df7190f1d881_SetDate">
    <vt:lpwstr>2025-11-30T06:14:07Z</vt:lpwstr>
  </property>
  <property fmtid="{D5CDD505-2E9C-101B-9397-08002B2CF9AE}" pid="4" name="MSIP_Label_9ef4adf7-25a7-4f52-a61a-df7190f1d881_Method">
    <vt:lpwstr>Standard</vt:lpwstr>
  </property>
  <property fmtid="{D5CDD505-2E9C-101B-9397-08002B2CF9AE}" pid="5" name="MSIP_Label_9ef4adf7-25a7-4f52-a61a-df7190f1d881_Name">
    <vt:lpwstr>Category C - Protected</vt:lpwstr>
  </property>
  <property fmtid="{D5CDD505-2E9C-101B-9397-08002B2CF9AE}" pid="6" name="MSIP_Label_9ef4adf7-25a7-4f52-a61a-df7190f1d881_SiteId">
    <vt:lpwstr>8fa69c26-409d-43e5-973c-17a8be1a7f35</vt:lpwstr>
  </property>
  <property fmtid="{D5CDD505-2E9C-101B-9397-08002B2CF9AE}" pid="7" name="MSIP_Label_9ef4adf7-25a7-4f52-a61a-df7190f1d881_ActionId">
    <vt:lpwstr>6a7a932c-60fa-4ba8-a236-3c085e797709</vt:lpwstr>
  </property>
  <property fmtid="{D5CDD505-2E9C-101B-9397-08002B2CF9AE}" pid="8" name="MSIP_Label_9ef4adf7-25a7-4f52-a61a-df7190f1d881_ContentBits">
    <vt:lpwstr>1</vt:lpwstr>
  </property>
  <property fmtid="{D5CDD505-2E9C-101B-9397-08002B2CF9AE}" pid="9" name="MSIP_Label_9ef4adf7-25a7-4f52-a61a-df7190f1d881_Tag">
    <vt:lpwstr>50, 3, 0, 1</vt:lpwstr>
  </property>
</Properties>
</file>